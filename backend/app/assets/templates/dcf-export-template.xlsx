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yanrodrigues/Downloads/"/>
    </mc:Choice>
  </mc:AlternateContent>
  <xr:revisionPtr revIDLastSave="0" documentId="13_ncr:1_{5096A044-01B7-4A49-8F1A-8E17854D657D}" xr6:coauthVersionLast="47" xr6:coauthVersionMax="47" xr10:uidLastSave="{00000000-0000-0000-0000-000000000000}"/>
  <bookViews>
    <workbookView xWindow="0" yWindow="600" windowWidth="28800" windowHeight="15720" xr2:uid="{C01C3A0A-6873-4BFD-B894-C30FA933CEBE}"/>
  </bookViews>
  <sheets>
    <sheet name="Cover" sheetId="1" r:id="rId1"/>
    <sheet name="Ouputs - Base" sheetId="6" r:id="rId2"/>
    <sheet name="DCF Model - Base (1)" sheetId="3" r:id="rId3"/>
    <sheet name="DCF Model - Bull (2)" sheetId="16" r:id="rId4"/>
    <sheet name="DCF Model - Bear (3)" sheetId="17" r:id="rId5"/>
    <sheet name="WACC" sheetId="9" r:id="rId6"/>
    <sheet name="Comps" sheetId="8" r:id="rId7"/>
    <sheet name="Assumption Breakdown" sheetId="11" r:id="rId8"/>
    <sheet name="Data -&gt;" sheetId="15" r:id="rId9"/>
    <sheet name="Data Given (Recalculated)" sheetId="2" r:id="rId10"/>
    <sheet name="Original &amp; Adjusted Data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9" l="1"/>
  <c r="I17" i="9"/>
  <c r="C12" i="17"/>
  <c r="C10" i="17"/>
  <c r="C10" i="16"/>
  <c r="C12" i="16"/>
  <c r="D28" i="6"/>
  <c r="D12" i="9"/>
  <c r="Q108" i="17"/>
  <c r="Q95" i="17"/>
  <c r="I89" i="17"/>
  <c r="J89" i="17" s="1"/>
  <c r="K89" i="17" s="1"/>
  <c r="L89" i="17" s="1"/>
  <c r="M89" i="17" s="1"/>
  <c r="N89" i="17" s="1"/>
  <c r="O89" i="17" s="1"/>
  <c r="P89" i="17" s="1"/>
  <c r="Q89" i="17" s="1"/>
  <c r="J82" i="17"/>
  <c r="E81" i="17"/>
  <c r="J77" i="17"/>
  <c r="K77" i="17" s="1"/>
  <c r="L77" i="17" s="1"/>
  <c r="M77" i="17" s="1"/>
  <c r="N77" i="17" s="1"/>
  <c r="O77" i="17" s="1"/>
  <c r="P77" i="17" s="1"/>
  <c r="Q77" i="17" s="1"/>
  <c r="I72" i="17"/>
  <c r="J72" i="17" s="1"/>
  <c r="K72" i="17" s="1"/>
  <c r="L72" i="17" s="1"/>
  <c r="M72" i="17" s="1"/>
  <c r="N72" i="17" s="1"/>
  <c r="O72" i="17" s="1"/>
  <c r="P72" i="17" s="1"/>
  <c r="Q72" i="17" s="1"/>
  <c r="J69" i="17"/>
  <c r="K69" i="17" s="1"/>
  <c r="L69" i="17" s="1"/>
  <c r="J65" i="17"/>
  <c r="J76" i="17" s="1"/>
  <c r="I63" i="17"/>
  <c r="J63" i="17" s="1"/>
  <c r="K63" i="17" s="1"/>
  <c r="L63" i="17" s="1"/>
  <c r="M63" i="17" s="1"/>
  <c r="N63" i="17" s="1"/>
  <c r="O63" i="17" s="1"/>
  <c r="P63" i="17" s="1"/>
  <c r="Q63" i="17" s="1"/>
  <c r="Q58" i="17"/>
  <c r="P58" i="17"/>
  <c r="O58" i="17"/>
  <c r="N58" i="17"/>
  <c r="M58" i="17"/>
  <c r="L58" i="17"/>
  <c r="K58" i="17"/>
  <c r="J58" i="17"/>
  <c r="I58" i="17"/>
  <c r="H58" i="17"/>
  <c r="N46" i="17"/>
  <c r="K46" i="17"/>
  <c r="J46" i="17"/>
  <c r="I46" i="17"/>
  <c r="Q45" i="17"/>
  <c r="P45" i="17"/>
  <c r="O45" i="17"/>
  <c r="N45" i="17"/>
  <c r="M45" i="17"/>
  <c r="L45" i="17"/>
  <c r="K45" i="17"/>
  <c r="J45" i="17"/>
  <c r="I45" i="17"/>
  <c r="H45" i="17"/>
  <c r="Q42" i="17"/>
  <c r="T42" i="17" s="1"/>
  <c r="P42" i="17"/>
  <c r="P43" i="17" s="1"/>
  <c r="O42" i="17"/>
  <c r="O43" i="17" s="1"/>
  <c r="N42" i="17"/>
  <c r="M42" i="17"/>
  <c r="L42" i="17"/>
  <c r="K42" i="17"/>
  <c r="J42" i="17"/>
  <c r="I42" i="17"/>
  <c r="H42" i="17"/>
  <c r="Q39" i="17"/>
  <c r="P39" i="17"/>
  <c r="O39" i="17"/>
  <c r="O40" i="17" s="1"/>
  <c r="N39" i="17"/>
  <c r="N40" i="17" s="1"/>
  <c r="M39" i="17"/>
  <c r="M40" i="17" s="1"/>
  <c r="L39" i="17"/>
  <c r="L40" i="17" s="1"/>
  <c r="K39" i="17"/>
  <c r="K40" i="17" s="1"/>
  <c r="J39" i="17"/>
  <c r="I39" i="17"/>
  <c r="H39" i="17"/>
  <c r="S39" i="17" s="1"/>
  <c r="Q36" i="17"/>
  <c r="T36" i="17" s="1"/>
  <c r="P36" i="17"/>
  <c r="P37" i="17" s="1"/>
  <c r="O36" i="17"/>
  <c r="O37" i="17" s="1"/>
  <c r="N36" i="17"/>
  <c r="N37" i="17" s="1"/>
  <c r="M36" i="17"/>
  <c r="M48" i="17" s="1"/>
  <c r="M49" i="17" s="1"/>
  <c r="L36" i="17"/>
  <c r="L48" i="17" s="1"/>
  <c r="L49" i="17" s="1"/>
  <c r="K36" i="17"/>
  <c r="K48" i="17" s="1"/>
  <c r="K49" i="17" s="1"/>
  <c r="J36" i="17"/>
  <c r="J48" i="17" s="1"/>
  <c r="I36" i="17"/>
  <c r="H36" i="17"/>
  <c r="Q27" i="17"/>
  <c r="P27" i="17"/>
  <c r="P28" i="17" s="1"/>
  <c r="O27" i="17"/>
  <c r="O28" i="17" s="1"/>
  <c r="N27" i="17"/>
  <c r="N28" i="17" s="1"/>
  <c r="M27" i="17"/>
  <c r="M28" i="17" s="1"/>
  <c r="L27" i="17"/>
  <c r="L28" i="17" s="1"/>
  <c r="K27" i="17"/>
  <c r="J27" i="17"/>
  <c r="J28" i="17" s="1"/>
  <c r="I27" i="17"/>
  <c r="H27" i="17"/>
  <c r="Q24" i="17"/>
  <c r="P24" i="17"/>
  <c r="O24" i="17"/>
  <c r="N24" i="17"/>
  <c r="N30" i="17" s="1"/>
  <c r="N32" i="17" s="1"/>
  <c r="M24" i="17"/>
  <c r="L24" i="17"/>
  <c r="K24" i="17"/>
  <c r="K30" i="17" s="1"/>
  <c r="J24" i="17"/>
  <c r="T24" i="17" s="1"/>
  <c r="I24" i="17"/>
  <c r="I30" i="17" s="1"/>
  <c r="H24" i="17"/>
  <c r="S24" i="17" s="1"/>
  <c r="Q21" i="17"/>
  <c r="P21" i="17"/>
  <c r="Q20" i="17"/>
  <c r="Q25" i="17" s="1"/>
  <c r="P20" i="17"/>
  <c r="O20" i="17"/>
  <c r="O21" i="17" s="1"/>
  <c r="N20" i="17"/>
  <c r="N21" i="17" s="1"/>
  <c r="M20" i="17"/>
  <c r="M46" i="17" s="1"/>
  <c r="L20" i="17"/>
  <c r="K20" i="17"/>
  <c r="J20" i="17"/>
  <c r="I20" i="17"/>
  <c r="H20" i="17"/>
  <c r="I18" i="17"/>
  <c r="J18" i="17" s="1"/>
  <c r="K18" i="17" s="1"/>
  <c r="L18" i="17" s="1"/>
  <c r="M18" i="17" s="1"/>
  <c r="N18" i="17" s="1"/>
  <c r="O18" i="17" s="1"/>
  <c r="P18" i="17" s="1"/>
  <c r="Q18" i="17" s="1"/>
  <c r="Q112" i="17"/>
  <c r="Q108" i="16"/>
  <c r="Q95" i="16"/>
  <c r="I89" i="16"/>
  <c r="J89" i="16" s="1"/>
  <c r="K89" i="16" s="1"/>
  <c r="L89" i="16" s="1"/>
  <c r="M89" i="16" s="1"/>
  <c r="N89" i="16" s="1"/>
  <c r="O89" i="16" s="1"/>
  <c r="P89" i="16" s="1"/>
  <c r="Q89" i="16" s="1"/>
  <c r="J82" i="16"/>
  <c r="J83" i="16" s="1"/>
  <c r="E81" i="16"/>
  <c r="J77" i="16"/>
  <c r="K77" i="16" s="1"/>
  <c r="L77" i="16" s="1"/>
  <c r="M77" i="16" s="1"/>
  <c r="N77" i="16" s="1"/>
  <c r="O77" i="16" s="1"/>
  <c r="P77" i="16" s="1"/>
  <c r="Q77" i="16" s="1"/>
  <c r="J72" i="16"/>
  <c r="K72" i="16" s="1"/>
  <c r="L72" i="16" s="1"/>
  <c r="M72" i="16" s="1"/>
  <c r="N72" i="16" s="1"/>
  <c r="O72" i="16" s="1"/>
  <c r="P72" i="16" s="1"/>
  <c r="Q72" i="16" s="1"/>
  <c r="I72" i="16"/>
  <c r="J69" i="16"/>
  <c r="K69" i="16" s="1"/>
  <c r="J65" i="16"/>
  <c r="J76" i="16" s="1"/>
  <c r="I63" i="16"/>
  <c r="J63" i="16" s="1"/>
  <c r="K63" i="16" s="1"/>
  <c r="L63" i="16" s="1"/>
  <c r="M63" i="16" s="1"/>
  <c r="N63" i="16" s="1"/>
  <c r="O63" i="16" s="1"/>
  <c r="P63" i="16" s="1"/>
  <c r="Q63" i="16" s="1"/>
  <c r="Q58" i="16"/>
  <c r="P58" i="16"/>
  <c r="O58" i="16"/>
  <c r="N58" i="16"/>
  <c r="M58" i="16"/>
  <c r="L58" i="16"/>
  <c r="K58" i="16"/>
  <c r="J58" i="16"/>
  <c r="I58" i="16"/>
  <c r="H58" i="16"/>
  <c r="Q45" i="16"/>
  <c r="T45" i="16" s="1"/>
  <c r="P45" i="16"/>
  <c r="P46" i="16" s="1"/>
  <c r="O45" i="16"/>
  <c r="O46" i="16" s="1"/>
  <c r="N45" i="16"/>
  <c r="N46" i="16" s="1"/>
  <c r="M45" i="16"/>
  <c r="L45" i="16"/>
  <c r="L46" i="16" s="1"/>
  <c r="K45" i="16"/>
  <c r="J45" i="16"/>
  <c r="J46" i="16" s="1"/>
  <c r="I45" i="16"/>
  <c r="S45" i="16" s="1"/>
  <c r="H45" i="16"/>
  <c r="H46" i="16" s="1"/>
  <c r="Q42" i="16"/>
  <c r="P42" i="16"/>
  <c r="P43" i="16" s="1"/>
  <c r="O42" i="16"/>
  <c r="O48" i="16" s="1"/>
  <c r="O49" i="16" s="1"/>
  <c r="N42" i="16"/>
  <c r="N43" i="16" s="1"/>
  <c r="M42" i="16"/>
  <c r="M43" i="16" s="1"/>
  <c r="L42" i="16"/>
  <c r="L43" i="16" s="1"/>
  <c r="K42" i="16"/>
  <c r="K43" i="16" s="1"/>
  <c r="J42" i="16"/>
  <c r="J43" i="16" s="1"/>
  <c r="I42" i="16"/>
  <c r="S42" i="16" s="1"/>
  <c r="H42" i="16"/>
  <c r="Q39" i="16"/>
  <c r="P39" i="16"/>
  <c r="O39" i="16"/>
  <c r="N39" i="16"/>
  <c r="M39" i="16"/>
  <c r="M40" i="16" s="1"/>
  <c r="L39" i="16"/>
  <c r="K39" i="16"/>
  <c r="K40" i="16" s="1"/>
  <c r="J39" i="16"/>
  <c r="J40" i="16" s="1"/>
  <c r="I39" i="16"/>
  <c r="S39" i="16" s="1"/>
  <c r="H39" i="16"/>
  <c r="Q37" i="16"/>
  <c r="Q36" i="16"/>
  <c r="T36" i="16" s="1"/>
  <c r="P36" i="16"/>
  <c r="P37" i="16" s="1"/>
  <c r="O36" i="16"/>
  <c r="O37" i="16" s="1"/>
  <c r="N36" i="16"/>
  <c r="N48" i="16" s="1"/>
  <c r="N49" i="16" s="1"/>
  <c r="M36" i="16"/>
  <c r="L36" i="16"/>
  <c r="K36" i="16"/>
  <c r="J36" i="16"/>
  <c r="I36" i="16"/>
  <c r="I37" i="16" s="1"/>
  <c r="H36" i="16"/>
  <c r="H37" i="16" s="1"/>
  <c r="K30" i="16"/>
  <c r="Q28" i="16"/>
  <c r="P28" i="16"/>
  <c r="Q27" i="16"/>
  <c r="P27" i="16"/>
  <c r="O27" i="16"/>
  <c r="N27" i="16"/>
  <c r="M27" i="16"/>
  <c r="M28" i="16" s="1"/>
  <c r="L27" i="16"/>
  <c r="L28" i="16" s="1"/>
  <c r="K27" i="16"/>
  <c r="K28" i="16" s="1"/>
  <c r="J27" i="16"/>
  <c r="J28" i="16" s="1"/>
  <c r="I27" i="16"/>
  <c r="I28" i="16" s="1"/>
  <c r="H27" i="16"/>
  <c r="K25" i="16"/>
  <c r="T24" i="16"/>
  <c r="Q24" i="16"/>
  <c r="Q30" i="16" s="1"/>
  <c r="Q32" i="16" s="1"/>
  <c r="P24" i="16"/>
  <c r="P30" i="16" s="1"/>
  <c r="P32" i="16" s="1"/>
  <c r="O24" i="16"/>
  <c r="O30" i="16" s="1"/>
  <c r="O32" i="16" s="1"/>
  <c r="N24" i="16"/>
  <c r="M24" i="16"/>
  <c r="L24" i="16"/>
  <c r="K24" i="16"/>
  <c r="J24" i="16"/>
  <c r="J30" i="16" s="1"/>
  <c r="I24" i="16"/>
  <c r="H24" i="16"/>
  <c r="H30" i="16" s="1"/>
  <c r="Q21" i="16"/>
  <c r="P21" i="16"/>
  <c r="N21" i="16"/>
  <c r="M21" i="16"/>
  <c r="L21" i="16"/>
  <c r="Q20" i="16"/>
  <c r="P20" i="16"/>
  <c r="O20" i="16"/>
  <c r="N20" i="16"/>
  <c r="N25" i="16" s="1"/>
  <c r="M20" i="16"/>
  <c r="M25" i="16" s="1"/>
  <c r="L20" i="16"/>
  <c r="K20" i="16"/>
  <c r="J20" i="16"/>
  <c r="I20" i="16"/>
  <c r="H20" i="16"/>
  <c r="I21" i="16" s="1"/>
  <c r="I18" i="16"/>
  <c r="J18" i="16" s="1"/>
  <c r="K18" i="16" s="1"/>
  <c r="L18" i="16" s="1"/>
  <c r="M18" i="16" s="1"/>
  <c r="N18" i="16" s="1"/>
  <c r="O18" i="16" s="1"/>
  <c r="P18" i="16" s="1"/>
  <c r="Q18" i="16" s="1"/>
  <c r="Q112" i="16"/>
  <c r="Q108" i="3"/>
  <c r="I89" i="3"/>
  <c r="J89" i="3" s="1"/>
  <c r="K89" i="3" s="1"/>
  <c r="L89" i="3" s="1"/>
  <c r="M89" i="3" s="1"/>
  <c r="N89" i="3" s="1"/>
  <c r="O89" i="3" s="1"/>
  <c r="P89" i="3" s="1"/>
  <c r="Q89" i="3" s="1"/>
  <c r="Q95" i="3"/>
  <c r="Q45" i="3"/>
  <c r="P45" i="3"/>
  <c r="O45" i="3"/>
  <c r="N45" i="3"/>
  <c r="M45" i="3"/>
  <c r="L45" i="3"/>
  <c r="K45" i="3"/>
  <c r="J45" i="3"/>
  <c r="I45" i="3"/>
  <c r="H45" i="3"/>
  <c r="Q42" i="3"/>
  <c r="P42" i="3"/>
  <c r="O42" i="3"/>
  <c r="N42" i="3"/>
  <c r="M42" i="3"/>
  <c r="L42" i="3"/>
  <c r="K42" i="3"/>
  <c r="J42" i="3"/>
  <c r="I42" i="3"/>
  <c r="H42" i="3"/>
  <c r="Q39" i="3"/>
  <c r="P39" i="3"/>
  <c r="O39" i="3"/>
  <c r="N39" i="3"/>
  <c r="M39" i="3"/>
  <c r="L39" i="3"/>
  <c r="K39" i="3"/>
  <c r="J39" i="3"/>
  <c r="I39" i="3"/>
  <c r="H39" i="3"/>
  <c r="Q36" i="3"/>
  <c r="P36" i="3"/>
  <c r="O36" i="3"/>
  <c r="N36" i="3"/>
  <c r="M36" i="3"/>
  <c r="L36" i="3"/>
  <c r="K36" i="3"/>
  <c r="J36" i="3"/>
  <c r="I36" i="3"/>
  <c r="H36" i="3"/>
  <c r="Q27" i="3"/>
  <c r="P27" i="3"/>
  <c r="O27" i="3"/>
  <c r="N27" i="3"/>
  <c r="M27" i="3"/>
  <c r="L27" i="3"/>
  <c r="K27" i="3"/>
  <c r="J27" i="3"/>
  <c r="I27" i="3"/>
  <c r="H27" i="3"/>
  <c r="Q24" i="3"/>
  <c r="P24" i="3"/>
  <c r="O24" i="3"/>
  <c r="N24" i="3"/>
  <c r="M24" i="3"/>
  <c r="L24" i="3"/>
  <c r="K24" i="3"/>
  <c r="J24" i="3"/>
  <c r="I24" i="3"/>
  <c r="H24" i="3"/>
  <c r="Q20" i="3"/>
  <c r="P20" i="3"/>
  <c r="O20" i="3"/>
  <c r="N20" i="3"/>
  <c r="M20" i="3"/>
  <c r="L20" i="3"/>
  <c r="K20" i="3"/>
  <c r="J20" i="3"/>
  <c r="I20" i="3"/>
  <c r="H20" i="3"/>
  <c r="I32" i="17" l="1"/>
  <c r="O48" i="17"/>
  <c r="O49" i="17" s="1"/>
  <c r="P40" i="17"/>
  <c r="Q43" i="17"/>
  <c r="P48" i="17"/>
  <c r="P49" i="17" s="1"/>
  <c r="Q48" i="17"/>
  <c r="H46" i="17"/>
  <c r="H32" i="17"/>
  <c r="H33" i="17" s="1"/>
  <c r="L25" i="17"/>
  <c r="M30" i="17"/>
  <c r="M32" i="17" s="1"/>
  <c r="M33" i="17" s="1"/>
  <c r="Q30" i="17"/>
  <c r="Q32" i="17" s="1"/>
  <c r="K37" i="17"/>
  <c r="S45" i="17"/>
  <c r="Q28" i="17"/>
  <c r="L37" i="17"/>
  <c r="O30" i="17"/>
  <c r="O32" i="17" s="1"/>
  <c r="H30" i="17"/>
  <c r="M37" i="17"/>
  <c r="H43" i="17"/>
  <c r="J83" i="17"/>
  <c r="J84" i="17" s="1"/>
  <c r="K32" i="17"/>
  <c r="P30" i="17"/>
  <c r="P32" i="17" s="1"/>
  <c r="K82" i="17"/>
  <c r="L82" i="17" s="1"/>
  <c r="M82" i="17" s="1"/>
  <c r="N82" i="17" s="1"/>
  <c r="O82" i="17" s="1"/>
  <c r="P82" i="17" s="1"/>
  <c r="Q82" i="17" s="1"/>
  <c r="J30" i="17"/>
  <c r="J32" i="17" s="1"/>
  <c r="J43" i="17"/>
  <c r="K43" i="17"/>
  <c r="M21" i="17"/>
  <c r="H37" i="17"/>
  <c r="L43" i="17"/>
  <c r="O46" i="17"/>
  <c r="H28" i="17"/>
  <c r="I37" i="17"/>
  <c r="M43" i="17"/>
  <c r="P46" i="17"/>
  <c r="I28" i="17"/>
  <c r="J49" i="17"/>
  <c r="N48" i="17"/>
  <c r="N49" i="17" s="1"/>
  <c r="T45" i="17"/>
  <c r="K48" i="16"/>
  <c r="K49" i="16" s="1"/>
  <c r="T42" i="16"/>
  <c r="I46" i="16"/>
  <c r="L48" i="16"/>
  <c r="L49" i="16" s="1"/>
  <c r="I30" i="16"/>
  <c r="I32" i="16" s="1"/>
  <c r="J32" i="16"/>
  <c r="J51" i="16" s="1"/>
  <c r="N28" i="16"/>
  <c r="O40" i="16"/>
  <c r="K32" i="16"/>
  <c r="O28" i="16"/>
  <c r="P40" i="16"/>
  <c r="J48" i="16"/>
  <c r="J49" i="16" s="1"/>
  <c r="N40" i="16"/>
  <c r="L25" i="16"/>
  <c r="Q40" i="16"/>
  <c r="O43" i="16"/>
  <c r="M48" i="16"/>
  <c r="M49" i="16" s="1"/>
  <c r="T27" i="16"/>
  <c r="J37" i="16"/>
  <c r="K37" i="16"/>
  <c r="H43" i="16"/>
  <c r="T20" i="16"/>
  <c r="S24" i="16"/>
  <c r="I43" i="16"/>
  <c r="K46" i="16"/>
  <c r="L68" i="17"/>
  <c r="M69" i="17"/>
  <c r="I33" i="17"/>
  <c r="K33" i="17"/>
  <c r="K51" i="17"/>
  <c r="Q49" i="17"/>
  <c r="T48" i="17"/>
  <c r="M51" i="17"/>
  <c r="Q33" i="17"/>
  <c r="Q51" i="17"/>
  <c r="N33" i="17"/>
  <c r="O33" i="17"/>
  <c r="O51" i="17"/>
  <c r="K83" i="17"/>
  <c r="P51" i="17"/>
  <c r="P33" i="17"/>
  <c r="I25" i="17"/>
  <c r="J25" i="17"/>
  <c r="L21" i="17"/>
  <c r="L32" i="17"/>
  <c r="J37" i="17"/>
  <c r="N43" i="17"/>
  <c r="I65" i="17"/>
  <c r="H40" i="17"/>
  <c r="L46" i="17"/>
  <c r="I68" i="17"/>
  <c r="I40" i="17"/>
  <c r="J68" i="17"/>
  <c r="S27" i="17"/>
  <c r="L30" i="17"/>
  <c r="J40" i="17"/>
  <c r="K68" i="17"/>
  <c r="Q99" i="17"/>
  <c r="H68" i="17"/>
  <c r="K25" i="17"/>
  <c r="M25" i="17"/>
  <c r="T27" i="17"/>
  <c r="Q37" i="17"/>
  <c r="K65" i="17"/>
  <c r="N25" i="17"/>
  <c r="S42" i="17"/>
  <c r="O25" i="17"/>
  <c r="Q46" i="17"/>
  <c r="P25" i="17"/>
  <c r="H48" i="17"/>
  <c r="H49" i="17" s="1"/>
  <c r="S20" i="17"/>
  <c r="K28" i="17"/>
  <c r="I43" i="17"/>
  <c r="I48" i="17"/>
  <c r="J66" i="17"/>
  <c r="H25" i="17"/>
  <c r="S36" i="17"/>
  <c r="T39" i="17"/>
  <c r="T20" i="17"/>
  <c r="I21" i="17"/>
  <c r="Q40" i="17"/>
  <c r="J21" i="17"/>
  <c r="K21" i="17"/>
  <c r="I65" i="16"/>
  <c r="H65" i="16" s="1"/>
  <c r="H76" i="16" s="1"/>
  <c r="K33" i="16"/>
  <c r="K51" i="16"/>
  <c r="O33" i="16"/>
  <c r="O51" i="16"/>
  <c r="L69" i="16"/>
  <c r="K68" i="16"/>
  <c r="P33" i="16"/>
  <c r="Q51" i="16"/>
  <c r="T32" i="16"/>
  <c r="Q33" i="16"/>
  <c r="J84" i="16"/>
  <c r="K83" i="16"/>
  <c r="K82" i="16"/>
  <c r="L82" i="16" s="1"/>
  <c r="M82" i="16" s="1"/>
  <c r="N82" i="16" s="1"/>
  <c r="O82" i="16" s="1"/>
  <c r="P82" i="16" s="1"/>
  <c r="Q82" i="16" s="1"/>
  <c r="H25" i="16"/>
  <c r="L37" i="16"/>
  <c r="K65" i="16"/>
  <c r="I25" i="16"/>
  <c r="M37" i="16"/>
  <c r="Q43" i="16"/>
  <c r="Q48" i="16"/>
  <c r="H68" i="16"/>
  <c r="P48" i="16"/>
  <c r="P49" i="16" s="1"/>
  <c r="O21" i="16"/>
  <c r="T39" i="16"/>
  <c r="J25" i="16"/>
  <c r="N37" i="16"/>
  <c r="H40" i="16"/>
  <c r="I68" i="16"/>
  <c r="I40" i="16"/>
  <c r="M46" i="16"/>
  <c r="J68" i="16"/>
  <c r="S27" i="16"/>
  <c r="Q99" i="16"/>
  <c r="L40" i="16"/>
  <c r="O25" i="16"/>
  <c r="Q46" i="16"/>
  <c r="M30" i="16"/>
  <c r="M32" i="16" s="1"/>
  <c r="P25" i="16"/>
  <c r="H48" i="16"/>
  <c r="H49" i="16" s="1"/>
  <c r="L30" i="16"/>
  <c r="L32" i="16" s="1"/>
  <c r="H28" i="16"/>
  <c r="S20" i="16"/>
  <c r="Q25" i="16"/>
  <c r="I48" i="16"/>
  <c r="J66" i="16"/>
  <c r="N30" i="16"/>
  <c r="N32" i="16" s="1"/>
  <c r="H32" i="16"/>
  <c r="S36" i="16"/>
  <c r="J21" i="16"/>
  <c r="K21" i="16"/>
  <c r="H48" i="3"/>
  <c r="H49" i="3" s="1"/>
  <c r="P48" i="3"/>
  <c r="P49" i="3" s="1"/>
  <c r="L48" i="3"/>
  <c r="L49" i="3" s="1"/>
  <c r="Q48" i="3"/>
  <c r="Q49" i="3" s="1"/>
  <c r="M48" i="3"/>
  <c r="M49" i="3" s="1"/>
  <c r="N48" i="3"/>
  <c r="N49" i="3" s="1"/>
  <c r="J48" i="3"/>
  <c r="J49" i="3" s="1"/>
  <c r="I48" i="3"/>
  <c r="I49" i="3" s="1"/>
  <c r="K48" i="3"/>
  <c r="K49" i="3" s="1"/>
  <c r="O48" i="3"/>
  <c r="O49" i="3" s="1"/>
  <c r="J65" i="3"/>
  <c r="C130" i="3"/>
  <c r="C127" i="3"/>
  <c r="C129" i="3"/>
  <c r="C128" i="3"/>
  <c r="C126" i="3"/>
  <c r="I31" i="2"/>
  <c r="Q58" i="3"/>
  <c r="P58" i="3"/>
  <c r="O58" i="3"/>
  <c r="N58" i="3"/>
  <c r="M58" i="3"/>
  <c r="L58" i="3"/>
  <c r="K58" i="3"/>
  <c r="J58" i="3"/>
  <c r="I58" i="3"/>
  <c r="H58" i="3"/>
  <c r="J33" i="17" l="1"/>
  <c r="J51" i="17"/>
  <c r="T32" i="17"/>
  <c r="S32" i="17"/>
  <c r="N51" i="17"/>
  <c r="P51" i="16"/>
  <c r="J33" i="16"/>
  <c r="I66" i="16"/>
  <c r="H66" i="16"/>
  <c r="I76" i="16"/>
  <c r="K57" i="17"/>
  <c r="K60" i="17" s="1"/>
  <c r="K52" i="17"/>
  <c r="K54" i="17"/>
  <c r="K55" i="17" s="1"/>
  <c r="P57" i="17"/>
  <c r="P60" i="17" s="1"/>
  <c r="P52" i="17"/>
  <c r="M57" i="17"/>
  <c r="M60" i="17" s="1"/>
  <c r="M52" i="17"/>
  <c r="K70" i="17"/>
  <c r="K75" i="17"/>
  <c r="J57" i="17"/>
  <c r="J60" i="17" s="1"/>
  <c r="J52" i="17"/>
  <c r="J54" i="17"/>
  <c r="J55" i="17" s="1"/>
  <c r="L83" i="17"/>
  <c r="K84" i="17"/>
  <c r="J70" i="17"/>
  <c r="J75" i="17"/>
  <c r="O57" i="17"/>
  <c r="O60" i="17" s="1"/>
  <c r="O52" i="17"/>
  <c r="I49" i="17"/>
  <c r="S48" i="17"/>
  <c r="H75" i="17"/>
  <c r="I51" i="17"/>
  <c r="I70" i="17"/>
  <c r="I75" i="17"/>
  <c r="N52" i="17"/>
  <c r="N57" i="17"/>
  <c r="N60" i="17" s="1"/>
  <c r="M68" i="17"/>
  <c r="M54" i="17" s="1"/>
  <c r="M55" i="17" s="1"/>
  <c r="N69" i="17"/>
  <c r="L33" i="17"/>
  <c r="L51" i="17"/>
  <c r="L75" i="17"/>
  <c r="H51" i="17"/>
  <c r="K76" i="17"/>
  <c r="L65" i="17"/>
  <c r="K66" i="17"/>
  <c r="H65" i="17"/>
  <c r="I76" i="17"/>
  <c r="I66" i="17"/>
  <c r="T51" i="17"/>
  <c r="Q57" i="17"/>
  <c r="Q60" i="17" s="1"/>
  <c r="Q52" i="17"/>
  <c r="T51" i="16"/>
  <c r="Q57" i="16"/>
  <c r="Q60" i="16" s="1"/>
  <c r="Q52" i="16"/>
  <c r="J57" i="16"/>
  <c r="J60" i="16" s="1"/>
  <c r="J52" i="16"/>
  <c r="J54" i="16"/>
  <c r="J55" i="16" s="1"/>
  <c r="M33" i="16"/>
  <c r="M51" i="16"/>
  <c r="I51" i="16"/>
  <c r="S32" i="16"/>
  <c r="I33" i="16"/>
  <c r="P57" i="16"/>
  <c r="P60" i="16" s="1"/>
  <c r="P52" i="16"/>
  <c r="H51" i="16"/>
  <c r="H33" i="16"/>
  <c r="N33" i="16"/>
  <c r="N51" i="16"/>
  <c r="I49" i="16"/>
  <c r="S48" i="16"/>
  <c r="K76" i="16"/>
  <c r="K66" i="16"/>
  <c r="L65" i="16"/>
  <c r="K70" i="16"/>
  <c r="K75" i="16"/>
  <c r="H70" i="16"/>
  <c r="H75" i="16"/>
  <c r="Q49" i="16"/>
  <c r="T48" i="16"/>
  <c r="J70" i="16"/>
  <c r="J75" i="16"/>
  <c r="L68" i="16"/>
  <c r="M69" i="16"/>
  <c r="O57" i="16"/>
  <c r="O60" i="16" s="1"/>
  <c r="O52" i="16"/>
  <c r="L33" i="16"/>
  <c r="L51" i="16"/>
  <c r="K84" i="16"/>
  <c r="L83" i="16"/>
  <c r="K57" i="16"/>
  <c r="K60" i="16" s="1"/>
  <c r="K52" i="16"/>
  <c r="K54" i="16"/>
  <c r="K55" i="16" s="1"/>
  <c r="I70" i="16"/>
  <c r="I75" i="16"/>
  <c r="I65" i="3"/>
  <c r="I66" i="3" s="1"/>
  <c r="J66" i="3"/>
  <c r="J69" i="3"/>
  <c r="K69" i="3" s="1"/>
  <c r="L69" i="3" s="1"/>
  <c r="M69" i="3" s="1"/>
  <c r="N69" i="3" s="1"/>
  <c r="O69" i="3" s="1"/>
  <c r="P69" i="3" s="1"/>
  <c r="Q69" i="3" s="1"/>
  <c r="C123" i="3"/>
  <c r="C124" i="3" s="1"/>
  <c r="C121" i="3"/>
  <c r="C120" i="3" s="1"/>
  <c r="D36" i="6"/>
  <c r="H36" i="6"/>
  <c r="T60" i="17" l="1"/>
  <c r="Q74" i="17"/>
  <c r="Q61" i="17"/>
  <c r="J61" i="17"/>
  <c r="J74" i="17"/>
  <c r="J78" i="17" s="1"/>
  <c r="I57" i="17"/>
  <c r="I52" i="17"/>
  <c r="S51" i="17"/>
  <c r="I60" i="17"/>
  <c r="I54" i="17"/>
  <c r="H76" i="17"/>
  <c r="H66" i="17"/>
  <c r="L66" i="17"/>
  <c r="M65" i="17"/>
  <c r="L76" i="17"/>
  <c r="L54" i="17"/>
  <c r="L55" i="17" s="1"/>
  <c r="L57" i="17"/>
  <c r="L60" i="17" s="1"/>
  <c r="L52" i="17"/>
  <c r="H70" i="17"/>
  <c r="O69" i="17"/>
  <c r="N68" i="17"/>
  <c r="H57" i="17"/>
  <c r="H52" i="17"/>
  <c r="H54" i="17"/>
  <c r="H55" i="17" s="1"/>
  <c r="H60" i="17"/>
  <c r="L70" i="17"/>
  <c r="O74" i="17"/>
  <c r="O61" i="17"/>
  <c r="K61" i="17"/>
  <c r="K74" i="17"/>
  <c r="K78" i="17" s="1"/>
  <c r="M74" i="17"/>
  <c r="M61" i="17"/>
  <c r="M75" i="17"/>
  <c r="P61" i="17"/>
  <c r="P74" i="17"/>
  <c r="N74" i="17"/>
  <c r="N61" i="17"/>
  <c r="M83" i="17"/>
  <c r="L84" i="17"/>
  <c r="K61" i="16"/>
  <c r="K74" i="16"/>
  <c r="K78" i="16" s="1"/>
  <c r="J61" i="16"/>
  <c r="J74" i="16"/>
  <c r="J78" i="16" s="1"/>
  <c r="O74" i="16"/>
  <c r="O61" i="16"/>
  <c r="T60" i="16"/>
  <c r="Q74" i="16"/>
  <c r="Q61" i="16"/>
  <c r="M52" i="16"/>
  <c r="M57" i="16"/>
  <c r="M60" i="16" s="1"/>
  <c r="L54" i="16"/>
  <c r="L55" i="16" s="1"/>
  <c r="L52" i="16"/>
  <c r="L57" i="16"/>
  <c r="L60" i="16" s="1"/>
  <c r="P61" i="16"/>
  <c r="P74" i="16"/>
  <c r="M83" i="16"/>
  <c r="L84" i="16"/>
  <c r="I57" i="16"/>
  <c r="I52" i="16"/>
  <c r="I54" i="16"/>
  <c r="S51" i="16"/>
  <c r="I60" i="16"/>
  <c r="L66" i="16"/>
  <c r="L76" i="16"/>
  <c r="M65" i="16"/>
  <c r="N57" i="16"/>
  <c r="N60" i="16" s="1"/>
  <c r="N52" i="16"/>
  <c r="M68" i="16"/>
  <c r="M54" i="16" s="1"/>
  <c r="M55" i="16" s="1"/>
  <c r="N69" i="16"/>
  <c r="L70" i="16"/>
  <c r="L75" i="16"/>
  <c r="H57" i="16"/>
  <c r="H60" i="16" s="1"/>
  <c r="H52" i="16"/>
  <c r="H54" i="16"/>
  <c r="H55" i="16" s="1"/>
  <c r="J16" i="9"/>
  <c r="I14" i="9"/>
  <c r="L14" i="9"/>
  <c r="N15" i="9"/>
  <c r="L15" i="9"/>
  <c r="I15" i="9"/>
  <c r="N19" i="9"/>
  <c r="L19" i="9"/>
  <c r="I19" i="9"/>
  <c r="I18" i="9"/>
  <c r="N18" i="9"/>
  <c r="L18" i="9"/>
  <c r="L17" i="9"/>
  <c r="I16" i="9"/>
  <c r="L16" i="9"/>
  <c r="N16" i="9"/>
  <c r="N14" i="9"/>
  <c r="J13" i="9"/>
  <c r="K13" i="9" s="1"/>
  <c r="H13" i="9"/>
  <c r="G13" i="9"/>
  <c r="E81" i="3"/>
  <c r="K79" i="17" l="1"/>
  <c r="H61" i="17"/>
  <c r="H74" i="17"/>
  <c r="I61" i="17"/>
  <c r="S60" i="17"/>
  <c r="I74" i="17"/>
  <c r="N83" i="17"/>
  <c r="M84" i="17"/>
  <c r="M66" i="17"/>
  <c r="M76" i="17"/>
  <c r="M78" i="17" s="1"/>
  <c r="N65" i="17"/>
  <c r="I55" i="17"/>
  <c r="S54" i="17"/>
  <c r="N75" i="17"/>
  <c r="N54" i="17"/>
  <c r="N55" i="17" s="1"/>
  <c r="J79" i="17"/>
  <c r="P69" i="17"/>
  <c r="O68" i="17"/>
  <c r="M70" i="17"/>
  <c r="L74" i="17"/>
  <c r="L78" i="17" s="1"/>
  <c r="L61" i="17"/>
  <c r="M74" i="16"/>
  <c r="M61" i="16"/>
  <c r="H61" i="16"/>
  <c r="H74" i="16"/>
  <c r="N74" i="16"/>
  <c r="N61" i="16"/>
  <c r="M66" i="16"/>
  <c r="M76" i="16"/>
  <c r="N65" i="16"/>
  <c r="S54" i="16"/>
  <c r="I55" i="16"/>
  <c r="I61" i="16"/>
  <c r="S60" i="16"/>
  <c r="I74" i="16"/>
  <c r="L74" i="16"/>
  <c r="L78" i="16" s="1"/>
  <c r="L61" i="16"/>
  <c r="N83" i="16"/>
  <c r="M84" i="16"/>
  <c r="J79" i="16"/>
  <c r="N68" i="16"/>
  <c r="O69" i="16"/>
  <c r="M75" i="16"/>
  <c r="M70" i="16"/>
  <c r="K79" i="16"/>
  <c r="H65" i="3"/>
  <c r="H66" i="3" s="1"/>
  <c r="M13" i="9"/>
  <c r="M79" i="17" l="1"/>
  <c r="N66" i="17"/>
  <c r="N76" i="17"/>
  <c r="N78" i="17" s="1"/>
  <c r="O65" i="17"/>
  <c r="O70" i="17" s="1"/>
  <c r="L79" i="17"/>
  <c r="P68" i="17"/>
  <c r="Q69" i="17"/>
  <c r="Q68" i="17" s="1"/>
  <c r="O75" i="17"/>
  <c r="O54" i="17"/>
  <c r="O55" i="17" s="1"/>
  <c r="O83" i="17"/>
  <c r="N84" i="17"/>
  <c r="N70" i="17"/>
  <c r="N66" i="16"/>
  <c r="O65" i="16"/>
  <c r="N76" i="16"/>
  <c r="O68" i="16"/>
  <c r="P69" i="16"/>
  <c r="N70" i="16"/>
  <c r="N75" i="16"/>
  <c r="N54" i="16"/>
  <c r="N55" i="16" s="1"/>
  <c r="O83" i="16"/>
  <c r="N84" i="16"/>
  <c r="L79" i="16"/>
  <c r="M78" i="16"/>
  <c r="J82" i="3"/>
  <c r="J83" i="3" s="1"/>
  <c r="J19" i="6"/>
  <c r="E18" i="6"/>
  <c r="F12" i="11"/>
  <c r="F10" i="11"/>
  <c r="J77" i="3"/>
  <c r="K77" i="3" s="1"/>
  <c r="L77" i="3" s="1"/>
  <c r="M77" i="3" s="1"/>
  <c r="N77" i="3" s="1"/>
  <c r="O77" i="3" s="1"/>
  <c r="P77" i="3" s="1"/>
  <c r="Q77" i="3" s="1"/>
  <c r="H76" i="3"/>
  <c r="I72" i="3"/>
  <c r="J72" i="3" s="1"/>
  <c r="K72" i="3" s="1"/>
  <c r="L72" i="3" s="1"/>
  <c r="M72" i="3" s="1"/>
  <c r="N72" i="3" s="1"/>
  <c r="O72" i="3" s="1"/>
  <c r="P72" i="3" s="1"/>
  <c r="Q72" i="3" s="1"/>
  <c r="I63" i="3"/>
  <c r="J63" i="3" s="1"/>
  <c r="K63" i="3" s="1"/>
  <c r="L63" i="3" s="1"/>
  <c r="M63" i="3" s="1"/>
  <c r="N63" i="3" s="1"/>
  <c r="O63" i="3" s="1"/>
  <c r="P63" i="3" s="1"/>
  <c r="Q63" i="3" s="1"/>
  <c r="F15" i="11"/>
  <c r="F14" i="11"/>
  <c r="F13" i="11"/>
  <c r="F11" i="11"/>
  <c r="M20" i="8"/>
  <c r="G20" i="8"/>
  <c r="M19" i="8"/>
  <c r="J19" i="8"/>
  <c r="G19" i="8"/>
  <c r="M18" i="8"/>
  <c r="J18" i="8"/>
  <c r="G18" i="8"/>
  <c r="M17" i="8"/>
  <c r="G17" i="8"/>
  <c r="M16" i="8"/>
  <c r="J16" i="8"/>
  <c r="G16" i="8"/>
  <c r="M15" i="8"/>
  <c r="G15" i="8"/>
  <c r="L13" i="8"/>
  <c r="K13" i="8"/>
  <c r="J13" i="8"/>
  <c r="I13" i="8"/>
  <c r="H13" i="8"/>
  <c r="F13" i="8"/>
  <c r="L12" i="8"/>
  <c r="K12" i="8"/>
  <c r="J12" i="8"/>
  <c r="I12" i="8"/>
  <c r="H12" i="8"/>
  <c r="F12" i="8"/>
  <c r="L11" i="8"/>
  <c r="K11" i="8"/>
  <c r="J11" i="8"/>
  <c r="I11" i="8"/>
  <c r="H11" i="8"/>
  <c r="F11" i="8"/>
  <c r="L10" i="8"/>
  <c r="K10" i="8"/>
  <c r="J10" i="8"/>
  <c r="I10" i="8"/>
  <c r="H10" i="8"/>
  <c r="F10" i="8"/>
  <c r="L9" i="8"/>
  <c r="K9" i="8"/>
  <c r="J9" i="8"/>
  <c r="I9" i="8"/>
  <c r="H9" i="8"/>
  <c r="F9" i="8"/>
  <c r="L8" i="8"/>
  <c r="L20" i="8" s="1"/>
  <c r="K8" i="8"/>
  <c r="K20" i="8" s="1"/>
  <c r="J8" i="8"/>
  <c r="J20" i="8" s="1"/>
  <c r="I8" i="8"/>
  <c r="I20" i="8" s="1"/>
  <c r="H8" i="8"/>
  <c r="H20" i="8" s="1"/>
  <c r="F8" i="8"/>
  <c r="F20" i="8" s="1"/>
  <c r="AE31" i="10"/>
  <c r="AD31" i="10"/>
  <c r="AC31" i="10"/>
  <c r="AB31" i="10"/>
  <c r="AA31" i="10"/>
  <c r="Z31" i="10"/>
  <c r="Y31" i="10"/>
  <c r="X31" i="10"/>
  <c r="AE30" i="10"/>
  <c r="AD30" i="10"/>
  <c r="AC30" i="10"/>
  <c r="AB30" i="10"/>
  <c r="AA30" i="10"/>
  <c r="Z30" i="10"/>
  <c r="Y30" i="10"/>
  <c r="X30" i="10"/>
  <c r="W30" i="10"/>
  <c r="V30" i="10"/>
  <c r="AE28" i="10"/>
  <c r="AD28" i="10"/>
  <c r="AC28" i="10"/>
  <c r="AB28" i="10"/>
  <c r="AA28" i="10"/>
  <c r="Z28" i="10"/>
  <c r="Y28" i="10"/>
  <c r="X28" i="10"/>
  <c r="W28" i="10"/>
  <c r="V28" i="10"/>
  <c r="AE18" i="10"/>
  <c r="AE20" i="10" s="1"/>
  <c r="AE21" i="10" s="1"/>
  <c r="AD18" i="10"/>
  <c r="AD20" i="10" s="1"/>
  <c r="AD21" i="10" s="1"/>
  <c r="AC18" i="10"/>
  <c r="AC20" i="10" s="1"/>
  <c r="AC21" i="10" s="1"/>
  <c r="AB18" i="10"/>
  <c r="AB20" i="10" s="1"/>
  <c r="AB21" i="10" s="1"/>
  <c r="AA18" i="10"/>
  <c r="AA20" i="10" s="1"/>
  <c r="AA21" i="10" s="1"/>
  <c r="Z18" i="10"/>
  <c r="Z20" i="10" s="1"/>
  <c r="Z21" i="10" s="1"/>
  <c r="Y18" i="10"/>
  <c r="Y20" i="10" s="1"/>
  <c r="Y21" i="10" s="1"/>
  <c r="X18" i="10"/>
  <c r="X20" i="10" s="1"/>
  <c r="X21" i="10" s="1"/>
  <c r="W18" i="10"/>
  <c r="W20" i="10" s="1"/>
  <c r="W21" i="10" s="1"/>
  <c r="V18" i="10"/>
  <c r="V20" i="10" s="1"/>
  <c r="V21" i="10" s="1"/>
  <c r="AE13" i="10"/>
  <c r="AD13" i="10"/>
  <c r="AC13" i="10"/>
  <c r="AB13" i="10"/>
  <c r="AA13" i="10"/>
  <c r="Z13" i="10"/>
  <c r="Y13" i="10"/>
  <c r="X13" i="10"/>
  <c r="W13" i="10"/>
  <c r="V8" i="10"/>
  <c r="AE7" i="10"/>
  <c r="AE8" i="10" s="1"/>
  <c r="AD7" i="10"/>
  <c r="AD8" i="10" s="1"/>
  <c r="AC7" i="10"/>
  <c r="AC8" i="10" s="1"/>
  <c r="AB7" i="10"/>
  <c r="AB8" i="10" s="1"/>
  <c r="AA7" i="10"/>
  <c r="AA8" i="10" s="1"/>
  <c r="Z7" i="10"/>
  <c r="Z8" i="10" s="1"/>
  <c r="Y7" i="10"/>
  <c r="Y8" i="10" s="1"/>
  <c r="X7" i="10"/>
  <c r="X8" i="10" s="1"/>
  <c r="W7" i="10"/>
  <c r="W8" i="10" s="1"/>
  <c r="V7" i="10"/>
  <c r="AE6" i="10"/>
  <c r="AD6" i="10"/>
  <c r="AC6" i="10"/>
  <c r="AB6" i="10"/>
  <c r="AA6" i="10"/>
  <c r="Z6" i="10"/>
  <c r="Y6" i="10"/>
  <c r="X6" i="10"/>
  <c r="W6" i="10"/>
  <c r="V6" i="10"/>
  <c r="P24" i="10"/>
  <c r="H24" i="10"/>
  <c r="I24" i="10"/>
  <c r="J24" i="10"/>
  <c r="K24" i="10"/>
  <c r="L24" i="10"/>
  <c r="M24" i="10"/>
  <c r="N24" i="10"/>
  <c r="O24" i="10"/>
  <c r="G24" i="10"/>
  <c r="E6" i="10"/>
  <c r="F6" i="10"/>
  <c r="G6" i="10"/>
  <c r="H6" i="10"/>
  <c r="I6" i="10"/>
  <c r="J6" i="10"/>
  <c r="K6" i="10"/>
  <c r="L6" i="10"/>
  <c r="M6" i="10"/>
  <c r="N6" i="10"/>
  <c r="O6" i="10"/>
  <c r="P6" i="10"/>
  <c r="E7" i="10"/>
  <c r="E8" i="10" s="1"/>
  <c r="F7" i="10"/>
  <c r="F8" i="10" s="1"/>
  <c r="G7" i="10"/>
  <c r="G8" i="10" s="1"/>
  <c r="H7" i="10"/>
  <c r="H8" i="10" s="1"/>
  <c r="I7" i="10"/>
  <c r="I8" i="10" s="1"/>
  <c r="J7" i="10"/>
  <c r="J8" i="10" s="1"/>
  <c r="K7" i="10"/>
  <c r="K8" i="10" s="1"/>
  <c r="L7" i="10"/>
  <c r="L8" i="10" s="1"/>
  <c r="M7" i="10"/>
  <c r="M8" i="10" s="1"/>
  <c r="N7" i="10"/>
  <c r="N8" i="10" s="1"/>
  <c r="O7" i="10"/>
  <c r="O8" i="10" s="1"/>
  <c r="P7" i="10"/>
  <c r="P8" i="10" s="1"/>
  <c r="H13" i="10"/>
  <c r="I13" i="10"/>
  <c r="J13" i="10"/>
  <c r="K13" i="10"/>
  <c r="L13" i="10"/>
  <c r="M13" i="10"/>
  <c r="N13" i="10"/>
  <c r="O13" i="10"/>
  <c r="P13" i="10"/>
  <c r="G18" i="10"/>
  <c r="G20" i="10" s="1"/>
  <c r="G21" i="10" s="1"/>
  <c r="H18" i="10"/>
  <c r="H20" i="10" s="1"/>
  <c r="H21" i="10" s="1"/>
  <c r="I18" i="10"/>
  <c r="I20" i="10" s="1"/>
  <c r="I21" i="10" s="1"/>
  <c r="J18" i="10"/>
  <c r="J20" i="10" s="1"/>
  <c r="J21" i="10" s="1"/>
  <c r="K18" i="10"/>
  <c r="K20" i="10" s="1"/>
  <c r="K21" i="10" s="1"/>
  <c r="L18" i="10"/>
  <c r="L20" i="10" s="1"/>
  <c r="L21" i="10" s="1"/>
  <c r="M18" i="10"/>
  <c r="M20" i="10" s="1"/>
  <c r="M21" i="10" s="1"/>
  <c r="N18" i="10"/>
  <c r="N20" i="10" s="1"/>
  <c r="N21" i="10" s="1"/>
  <c r="O18" i="10"/>
  <c r="O20" i="10" s="1"/>
  <c r="O21" i="10" s="1"/>
  <c r="P18" i="10"/>
  <c r="P20" i="10" s="1"/>
  <c r="P21" i="10" s="1"/>
  <c r="N78" i="16" l="1"/>
  <c r="N79" i="17"/>
  <c r="P83" i="17"/>
  <c r="O84" i="17"/>
  <c r="Q75" i="17"/>
  <c r="Q54" i="17"/>
  <c r="P75" i="17"/>
  <c r="P54" i="17"/>
  <c r="P55" i="17" s="1"/>
  <c r="O76" i="17"/>
  <c r="O78" i="17" s="1"/>
  <c r="P65" i="17"/>
  <c r="O66" i="17"/>
  <c r="P83" i="16"/>
  <c r="O84" i="16"/>
  <c r="M79" i="16"/>
  <c r="P68" i="16"/>
  <c r="Q69" i="16"/>
  <c r="Q68" i="16" s="1"/>
  <c r="O70" i="16"/>
  <c r="O75" i="16"/>
  <c r="O54" i="16"/>
  <c r="O55" i="16" s="1"/>
  <c r="O66" i="16"/>
  <c r="P65" i="16"/>
  <c r="O76" i="16"/>
  <c r="D6" i="11"/>
  <c r="K82" i="3"/>
  <c r="L82" i="3" s="1"/>
  <c r="M82" i="3" s="1"/>
  <c r="N82" i="3" s="1"/>
  <c r="O82" i="3" s="1"/>
  <c r="P82" i="3" s="1"/>
  <c r="Q82" i="3" s="1"/>
  <c r="J20" i="6"/>
  <c r="J21" i="6" s="1"/>
  <c r="J84" i="3"/>
  <c r="K83" i="3"/>
  <c r="K65" i="3"/>
  <c r="J76" i="3"/>
  <c r="I76" i="3"/>
  <c r="F19" i="8"/>
  <c r="H19" i="8"/>
  <c r="I19" i="8"/>
  <c r="H15" i="8"/>
  <c r="I15" i="8"/>
  <c r="I17" i="8"/>
  <c r="J15" i="8"/>
  <c r="J17" i="8"/>
  <c r="K15" i="8"/>
  <c r="K17" i="8"/>
  <c r="K19" i="8"/>
  <c r="F17" i="8"/>
  <c r="L15" i="8"/>
  <c r="L17" i="8"/>
  <c r="L19" i="8"/>
  <c r="F15" i="8"/>
  <c r="H17" i="8"/>
  <c r="F16" i="8"/>
  <c r="F18" i="8"/>
  <c r="H16" i="8"/>
  <c r="H18" i="8"/>
  <c r="I16" i="8"/>
  <c r="I18" i="8"/>
  <c r="K16" i="8"/>
  <c r="K18" i="8"/>
  <c r="L16" i="8"/>
  <c r="L18" i="8"/>
  <c r="F28" i="10"/>
  <c r="E28" i="10"/>
  <c r="F18" i="10"/>
  <c r="F20" i="10" s="1"/>
  <c r="F21" i="10" s="1"/>
  <c r="E18" i="10"/>
  <c r="E20" i="10" s="1"/>
  <c r="E21" i="10" s="1"/>
  <c r="N79" i="16" l="1"/>
  <c r="O79" i="17"/>
  <c r="Q65" i="17"/>
  <c r="P66" i="17"/>
  <c r="P76" i="17"/>
  <c r="P70" i="17"/>
  <c r="Q83" i="17"/>
  <c r="Q84" i="17" s="1"/>
  <c r="P84" i="17"/>
  <c r="P78" i="17"/>
  <c r="Q55" i="17"/>
  <c r="Q92" i="17"/>
  <c r="T54" i="17"/>
  <c r="Q65" i="16"/>
  <c r="Q70" i="16" s="1"/>
  <c r="P66" i="16"/>
  <c r="P76" i="16"/>
  <c r="Q75" i="16"/>
  <c r="Q54" i="16"/>
  <c r="P70" i="16"/>
  <c r="P75" i="16"/>
  <c r="P54" i="16"/>
  <c r="P55" i="16" s="1"/>
  <c r="O78" i="16"/>
  <c r="Q83" i="16"/>
  <c r="Q84" i="16" s="1"/>
  <c r="P84" i="16"/>
  <c r="L65" i="3"/>
  <c r="L76" i="3" s="1"/>
  <c r="K66" i="3"/>
  <c r="L83" i="3"/>
  <c r="K84" i="3"/>
  <c r="K76" i="3"/>
  <c r="E30" i="10"/>
  <c r="E31" i="10" s="1"/>
  <c r="F30" i="10"/>
  <c r="F31" i="10" s="1"/>
  <c r="G12" i="9"/>
  <c r="G11" i="9"/>
  <c r="G10" i="9"/>
  <c r="G9" i="9"/>
  <c r="P78" i="16" l="1"/>
  <c r="P79" i="16" s="1"/>
  <c r="P79" i="17"/>
  <c r="Q76" i="17"/>
  <c r="Q78" i="17" s="1"/>
  <c r="Q66" i="17"/>
  <c r="Q70" i="17"/>
  <c r="O79" i="16"/>
  <c r="T54" i="16"/>
  <c r="Q55" i="16"/>
  <c r="Q92" i="16"/>
  <c r="Q76" i="16"/>
  <c r="Q78" i="16" s="1"/>
  <c r="Q66" i="16"/>
  <c r="M65" i="3"/>
  <c r="L66" i="3"/>
  <c r="M83" i="3"/>
  <c r="L84" i="3"/>
  <c r="G8" i="9"/>
  <c r="H12" i="9"/>
  <c r="H11" i="9"/>
  <c r="H10" i="9"/>
  <c r="H9" i="9"/>
  <c r="H8" i="9"/>
  <c r="J12" i="9"/>
  <c r="J11" i="9"/>
  <c r="J10" i="9"/>
  <c r="K10" i="9" s="1"/>
  <c r="J9" i="9"/>
  <c r="K9" i="9" s="1"/>
  <c r="M9" i="9" s="1"/>
  <c r="J8" i="9"/>
  <c r="K12" i="9"/>
  <c r="M12" i="9" s="1"/>
  <c r="K11" i="9"/>
  <c r="M11" i="9" s="1"/>
  <c r="D24" i="9"/>
  <c r="N23" i="9"/>
  <c r="L23" i="9"/>
  <c r="D20" i="9" s="1"/>
  <c r="D21" i="9" s="1"/>
  <c r="Q79" i="17" l="1"/>
  <c r="Q104" i="17"/>
  <c r="T78" i="17"/>
  <c r="Q79" i="16"/>
  <c r="Q104" i="16"/>
  <c r="T78" i="16"/>
  <c r="N65" i="3"/>
  <c r="M66" i="3"/>
  <c r="M76" i="3"/>
  <c r="H19" i="9"/>
  <c r="H14" i="9"/>
  <c r="H18" i="9"/>
  <c r="H17" i="9"/>
  <c r="H16" i="9"/>
  <c r="H15" i="9"/>
  <c r="J15" i="9"/>
  <c r="J14" i="9"/>
  <c r="J18" i="9"/>
  <c r="J17" i="9"/>
  <c r="J19" i="9"/>
  <c r="K8" i="9"/>
  <c r="N83" i="3"/>
  <c r="M84" i="3"/>
  <c r="M10" i="9"/>
  <c r="O65" i="3" l="1"/>
  <c r="N66" i="3"/>
  <c r="N76" i="3"/>
  <c r="M8" i="9"/>
  <c r="M18" i="9" s="1"/>
  <c r="K14" i="9"/>
  <c r="K15" i="9"/>
  <c r="K17" i="9"/>
  <c r="K23" i="9" s="1"/>
  <c r="K18" i="9"/>
  <c r="K19" i="9"/>
  <c r="K16" i="9"/>
  <c r="O83" i="3"/>
  <c r="N84" i="3"/>
  <c r="M28" i="2"/>
  <c r="C12" i="3"/>
  <c r="Q14" i="6"/>
  <c r="P14" i="6"/>
  <c r="O14" i="6"/>
  <c r="N14" i="6"/>
  <c r="M14" i="6"/>
  <c r="L14" i="6"/>
  <c r="K14" i="6"/>
  <c r="J14" i="6"/>
  <c r="Q15" i="6"/>
  <c r="P15" i="6"/>
  <c r="O15" i="6"/>
  <c r="N15" i="6"/>
  <c r="M15" i="6"/>
  <c r="L15" i="6"/>
  <c r="K15" i="6"/>
  <c r="J15" i="6"/>
  <c r="K19" i="6"/>
  <c r="L19" i="6" s="1"/>
  <c r="M19" i="6" s="1"/>
  <c r="N19" i="6" s="1"/>
  <c r="O19" i="6" s="1"/>
  <c r="P19" i="6" s="1"/>
  <c r="Q19" i="6" s="1"/>
  <c r="M17" i="9" l="1"/>
  <c r="M23" i="9" s="1"/>
  <c r="H23" i="9" s="1"/>
  <c r="D11" i="9" s="1"/>
  <c r="D13" i="9" s="1"/>
  <c r="D16" i="9" s="1"/>
  <c r="M19" i="9"/>
  <c r="M15" i="9"/>
  <c r="M16" i="9"/>
  <c r="M14" i="9"/>
  <c r="Q99" i="3"/>
  <c r="Q112" i="3"/>
  <c r="D23" i="9"/>
  <c r="D28" i="9" s="1"/>
  <c r="H41" i="6"/>
  <c r="D41" i="6"/>
  <c r="P65" i="3"/>
  <c r="O66" i="3"/>
  <c r="O76" i="3"/>
  <c r="P83" i="3"/>
  <c r="O84" i="3"/>
  <c r="D27" i="9" l="1"/>
  <c r="D26" i="9" s="1"/>
  <c r="J23" i="9"/>
  <c r="I23" i="9" s="1"/>
  <c r="D32" i="9" s="1"/>
  <c r="Q65" i="3"/>
  <c r="P66" i="3"/>
  <c r="P76" i="3"/>
  <c r="Q83" i="3"/>
  <c r="Q84" i="3" s="1"/>
  <c r="P84" i="3"/>
  <c r="I6" i="6"/>
  <c r="J6" i="6" s="1"/>
  <c r="K6" i="6" s="1"/>
  <c r="L6" i="6" s="1"/>
  <c r="M6" i="6" s="1"/>
  <c r="N6" i="6" s="1"/>
  <c r="O6" i="6" s="1"/>
  <c r="P6" i="6" s="1"/>
  <c r="Q6" i="6" s="1"/>
  <c r="Q76" i="3" l="1"/>
  <c r="Q66" i="3"/>
  <c r="D31" i="9"/>
  <c r="D30" i="9" s="1"/>
  <c r="H68" i="3"/>
  <c r="H70" i="3" s="1"/>
  <c r="K20" i="6"/>
  <c r="P30" i="2"/>
  <c r="O30" i="2"/>
  <c r="N30" i="2"/>
  <c r="M30" i="2"/>
  <c r="L30" i="2"/>
  <c r="K30" i="2"/>
  <c r="J30" i="2"/>
  <c r="I30" i="2"/>
  <c r="H30" i="2"/>
  <c r="G30" i="2"/>
  <c r="P28" i="2"/>
  <c r="O28" i="2"/>
  <c r="N28" i="2"/>
  <c r="L28" i="2"/>
  <c r="K28" i="2"/>
  <c r="J28" i="2"/>
  <c r="I28" i="2"/>
  <c r="H28" i="2"/>
  <c r="G28" i="2"/>
  <c r="P31" i="2"/>
  <c r="O31" i="2"/>
  <c r="N31" i="2"/>
  <c r="M31" i="2"/>
  <c r="L31" i="2"/>
  <c r="K31" i="2"/>
  <c r="J31" i="2"/>
  <c r="S42" i="3" l="1"/>
  <c r="S45" i="3"/>
  <c r="T39" i="3"/>
  <c r="S24" i="3"/>
  <c r="S39" i="3"/>
  <c r="T27" i="3"/>
  <c r="T24" i="3"/>
  <c r="T45" i="3"/>
  <c r="S27" i="3"/>
  <c r="T42" i="3"/>
  <c r="S36" i="3"/>
  <c r="T36" i="3"/>
  <c r="H75" i="3"/>
  <c r="D34" i="9"/>
  <c r="L20" i="6"/>
  <c r="K21" i="6"/>
  <c r="Q30" i="3"/>
  <c r="H30" i="3"/>
  <c r="H32" i="3" s="1"/>
  <c r="H51" i="3" s="1"/>
  <c r="J30" i="3"/>
  <c r="L30" i="3"/>
  <c r="I30" i="3"/>
  <c r="N30" i="3"/>
  <c r="K30" i="3"/>
  <c r="M30" i="3"/>
  <c r="O30" i="3"/>
  <c r="P30" i="3"/>
  <c r="T48" i="3" l="1"/>
  <c r="S48" i="3"/>
  <c r="H27" i="6"/>
  <c r="D27" i="6"/>
  <c r="K22" i="6"/>
  <c r="J22" i="6"/>
  <c r="Q22" i="6"/>
  <c r="N22" i="6"/>
  <c r="L22" i="6"/>
  <c r="P22" i="6"/>
  <c r="M22" i="6"/>
  <c r="O22" i="6"/>
  <c r="F12" i="3"/>
  <c r="M20" i="6"/>
  <c r="L21" i="6"/>
  <c r="S20" i="3"/>
  <c r="I18" i="3"/>
  <c r="J18" i="3" s="1"/>
  <c r="K18" i="3" s="1"/>
  <c r="L18" i="3" s="1"/>
  <c r="M18" i="3" s="1"/>
  <c r="N18" i="3" s="1"/>
  <c r="O18" i="3" s="1"/>
  <c r="P18" i="3" s="1"/>
  <c r="Q18" i="3" s="1"/>
  <c r="F12" i="17" l="1"/>
  <c r="F12" i="16"/>
  <c r="J85" i="3"/>
  <c r="T20" i="3"/>
  <c r="L85" i="3"/>
  <c r="M85" i="3"/>
  <c r="O85" i="3"/>
  <c r="P85" i="3"/>
  <c r="Q85" i="3"/>
  <c r="N85" i="3"/>
  <c r="K85" i="3"/>
  <c r="I68" i="3"/>
  <c r="I70" i="3" s="1"/>
  <c r="M68" i="3"/>
  <c r="M70" i="3" s="1"/>
  <c r="K68" i="3"/>
  <c r="K70" i="3" s="1"/>
  <c r="N68" i="3"/>
  <c r="N70" i="3" s="1"/>
  <c r="Q68" i="3"/>
  <c r="Q70" i="3" s="1"/>
  <c r="L68" i="3"/>
  <c r="L70" i="3" s="1"/>
  <c r="P68" i="3"/>
  <c r="P70" i="3" s="1"/>
  <c r="J68" i="3"/>
  <c r="J70" i="3" s="1"/>
  <c r="O68" i="3"/>
  <c r="O70" i="3" s="1"/>
  <c r="L32" i="3"/>
  <c r="L51" i="3" s="1"/>
  <c r="Q32" i="3"/>
  <c r="Q51" i="3" s="1"/>
  <c r="J32" i="3"/>
  <c r="J51" i="3" s="1"/>
  <c r="N32" i="3"/>
  <c r="N51" i="3" s="1"/>
  <c r="O32" i="3"/>
  <c r="O51" i="3" s="1"/>
  <c r="P32" i="3"/>
  <c r="P51" i="3" s="1"/>
  <c r="K32" i="3"/>
  <c r="K51" i="3" s="1"/>
  <c r="I32" i="3"/>
  <c r="M32" i="3"/>
  <c r="M51" i="3" s="1"/>
  <c r="N20" i="6"/>
  <c r="M21" i="6"/>
  <c r="I21" i="3"/>
  <c r="I46" i="3"/>
  <c r="I25" i="3"/>
  <c r="I40" i="3"/>
  <c r="I37" i="3"/>
  <c r="I28" i="3"/>
  <c r="I43" i="3"/>
  <c r="O25" i="3"/>
  <c r="O46" i="3"/>
  <c r="O37" i="3"/>
  <c r="O28" i="3"/>
  <c r="O40" i="3"/>
  <c r="O43" i="3"/>
  <c r="K25" i="3"/>
  <c r="K46" i="3"/>
  <c r="K28" i="3"/>
  <c r="K40" i="3"/>
  <c r="K37" i="3"/>
  <c r="K43" i="3"/>
  <c r="Q21" i="3"/>
  <c r="Q37" i="3"/>
  <c r="Q28" i="3"/>
  <c r="Q40" i="3"/>
  <c r="Q46" i="3"/>
  <c r="Q25" i="3"/>
  <c r="Q43" i="3"/>
  <c r="J46" i="3"/>
  <c r="J25" i="3"/>
  <c r="J43" i="3"/>
  <c r="J37" i="3"/>
  <c r="J40" i="3"/>
  <c r="J28" i="3"/>
  <c r="L46" i="3"/>
  <c r="L25" i="3"/>
  <c r="L40" i="3"/>
  <c r="L37" i="3"/>
  <c r="L43" i="3"/>
  <c r="L28" i="3"/>
  <c r="M25" i="3"/>
  <c r="M46" i="3"/>
  <c r="M43" i="3"/>
  <c r="M28" i="3"/>
  <c r="M40" i="3"/>
  <c r="M37" i="3"/>
  <c r="N21" i="3"/>
  <c r="N25" i="3"/>
  <c r="N28" i="3"/>
  <c r="N46" i="3"/>
  <c r="N37" i="3"/>
  <c r="N40" i="3"/>
  <c r="N43" i="3"/>
  <c r="P25" i="3"/>
  <c r="P37" i="3"/>
  <c r="P46" i="3"/>
  <c r="P28" i="3"/>
  <c r="P43" i="3"/>
  <c r="P40" i="3"/>
  <c r="H25" i="3"/>
  <c r="H40" i="3"/>
  <c r="H43" i="3"/>
  <c r="H46" i="3"/>
  <c r="H28" i="3"/>
  <c r="H37" i="3"/>
  <c r="L21" i="3"/>
  <c r="J21" i="3"/>
  <c r="O21" i="3"/>
  <c r="K21" i="3"/>
  <c r="M21" i="3"/>
  <c r="P21" i="3"/>
  <c r="E6" i="2"/>
  <c r="F6" i="2"/>
  <c r="G6" i="2"/>
  <c r="H6" i="2"/>
  <c r="I6" i="2"/>
  <c r="J6" i="2"/>
  <c r="K6" i="2"/>
  <c r="L6" i="2"/>
  <c r="M6" i="2"/>
  <c r="N6" i="2"/>
  <c r="O6" i="2"/>
  <c r="P6" i="2"/>
  <c r="E7" i="2"/>
  <c r="F7" i="2"/>
  <c r="G7" i="2"/>
  <c r="G8" i="2" s="1"/>
  <c r="H7" i="2"/>
  <c r="I7" i="2"/>
  <c r="J7" i="2"/>
  <c r="K7" i="2"/>
  <c r="L7" i="2"/>
  <c r="L8" i="2" s="1"/>
  <c r="M7" i="2"/>
  <c r="M8" i="2" s="1"/>
  <c r="N7" i="2"/>
  <c r="N8" i="2" s="1"/>
  <c r="O7" i="2"/>
  <c r="O8" i="2" s="1"/>
  <c r="P7" i="2"/>
  <c r="P8" i="2" s="1"/>
  <c r="E8" i="2"/>
  <c r="F8" i="2"/>
  <c r="H8" i="2"/>
  <c r="I8" i="2"/>
  <c r="J8" i="2"/>
  <c r="K8" i="2"/>
  <c r="H13" i="2"/>
  <c r="I13" i="2"/>
  <c r="J13" i="2"/>
  <c r="K13" i="2"/>
  <c r="L13" i="2"/>
  <c r="M13" i="2"/>
  <c r="N13" i="2"/>
  <c r="O13" i="2"/>
  <c r="P13" i="2"/>
  <c r="G18" i="2"/>
  <c r="G20" i="2" s="1"/>
  <c r="G21" i="2" s="1"/>
  <c r="H18" i="2"/>
  <c r="H20" i="2" s="1"/>
  <c r="H21" i="2" s="1"/>
  <c r="I18" i="2"/>
  <c r="I20" i="2" s="1"/>
  <c r="I21" i="2" s="1"/>
  <c r="J18" i="2"/>
  <c r="J20" i="2" s="1"/>
  <c r="J21" i="2" s="1"/>
  <c r="K18" i="2"/>
  <c r="K20" i="2" s="1"/>
  <c r="K21" i="2" s="1"/>
  <c r="L18" i="2"/>
  <c r="L20" i="2" s="1"/>
  <c r="L21" i="2" s="1"/>
  <c r="M18" i="2"/>
  <c r="M20" i="2" s="1"/>
  <c r="M21" i="2" s="1"/>
  <c r="N18" i="2"/>
  <c r="N20" i="2" s="1"/>
  <c r="N21" i="2" s="1"/>
  <c r="O18" i="2"/>
  <c r="O20" i="2" s="1"/>
  <c r="O21" i="2" s="1"/>
  <c r="P18" i="2"/>
  <c r="P20" i="2" s="1"/>
  <c r="P21" i="2" s="1"/>
  <c r="E28" i="2"/>
  <c r="F28" i="2"/>
  <c r="G24" i="2"/>
  <c r="H24" i="2"/>
  <c r="I24" i="2"/>
  <c r="J24" i="2"/>
  <c r="K24" i="2"/>
  <c r="L24" i="2"/>
  <c r="M24" i="2"/>
  <c r="N24" i="2"/>
  <c r="O24" i="2"/>
  <c r="P24" i="2"/>
  <c r="Q85" i="16" l="1"/>
  <c r="J85" i="16"/>
  <c r="J87" i="16" s="1"/>
  <c r="P85" i="16"/>
  <c r="P87" i="16" s="1"/>
  <c r="M85" i="16"/>
  <c r="M87" i="16" s="1"/>
  <c r="N85" i="16"/>
  <c r="N87" i="16" s="1"/>
  <c r="K85" i="16"/>
  <c r="K87" i="16" s="1"/>
  <c r="O85" i="16"/>
  <c r="O87" i="16" s="1"/>
  <c r="L85" i="16"/>
  <c r="L87" i="16" s="1"/>
  <c r="Q85" i="17"/>
  <c r="N85" i="17"/>
  <c r="N87" i="17" s="1"/>
  <c r="O85" i="17"/>
  <c r="O87" i="17" s="1"/>
  <c r="J85" i="17"/>
  <c r="J87" i="17" s="1"/>
  <c r="M85" i="17"/>
  <c r="M87" i="17" s="1"/>
  <c r="K85" i="17"/>
  <c r="K87" i="17" s="1"/>
  <c r="P85" i="17"/>
  <c r="P87" i="17" s="1"/>
  <c r="L85" i="17"/>
  <c r="L87" i="17" s="1"/>
  <c r="S32" i="3"/>
  <c r="I51" i="3"/>
  <c r="I57" i="3" s="1"/>
  <c r="I60" i="3" s="1"/>
  <c r="T32" i="3"/>
  <c r="I75" i="3"/>
  <c r="J75" i="3"/>
  <c r="J9" i="6"/>
  <c r="J13" i="6" s="1"/>
  <c r="P9" i="6"/>
  <c r="P13" i="6" s="1"/>
  <c r="P75" i="3"/>
  <c r="Q9" i="6"/>
  <c r="Q13" i="6" s="1"/>
  <c r="Q75" i="3"/>
  <c r="N9" i="6"/>
  <c r="N13" i="6" s="1"/>
  <c r="N75" i="3"/>
  <c r="K75" i="3"/>
  <c r="K9" i="6"/>
  <c r="K13" i="6" s="1"/>
  <c r="L75" i="3"/>
  <c r="L9" i="6"/>
  <c r="L13" i="6" s="1"/>
  <c r="M75" i="3"/>
  <c r="M9" i="6"/>
  <c r="M13" i="6" s="1"/>
  <c r="O75" i="3"/>
  <c r="O9" i="6"/>
  <c r="O13" i="6" s="1"/>
  <c r="F18" i="2"/>
  <c r="F20" i="2" s="1"/>
  <c r="E18" i="2"/>
  <c r="E20" i="2" s="1"/>
  <c r="O20" i="6"/>
  <c r="N21" i="6"/>
  <c r="H33" i="3"/>
  <c r="N33" i="3"/>
  <c r="M33" i="3"/>
  <c r="Q57" i="3"/>
  <c r="Q60" i="3" s="1"/>
  <c r="Q33" i="3"/>
  <c r="K33" i="3"/>
  <c r="O33" i="3"/>
  <c r="L33" i="3"/>
  <c r="J33" i="3"/>
  <c r="I33" i="3"/>
  <c r="P33" i="3"/>
  <c r="F21" i="2"/>
  <c r="F30" i="2"/>
  <c r="F31" i="2" s="1"/>
  <c r="E21" i="2"/>
  <c r="E30" i="2"/>
  <c r="E31" i="2" s="1"/>
  <c r="Q93" i="17" l="1"/>
  <c r="Q87" i="17"/>
  <c r="Q105" i="17"/>
  <c r="Q106" i="17" s="1"/>
  <c r="Q93" i="16"/>
  <c r="Q87" i="16"/>
  <c r="Q105" i="16"/>
  <c r="Q106" i="16" s="1"/>
  <c r="Q107" i="16" s="1"/>
  <c r="Q111" i="16" s="1"/>
  <c r="Q113" i="16" s="1"/>
  <c r="M54" i="3"/>
  <c r="M55" i="3" s="1"/>
  <c r="M57" i="3"/>
  <c r="M60" i="3" s="1"/>
  <c r="M74" i="3" s="1"/>
  <c r="M78" i="3" s="1"/>
  <c r="J54" i="3"/>
  <c r="J55" i="3" s="1"/>
  <c r="J57" i="3"/>
  <c r="J60" i="3" s="1"/>
  <c r="J74" i="3" s="1"/>
  <c r="J78" i="3" s="1"/>
  <c r="P54" i="3"/>
  <c r="P55" i="3" s="1"/>
  <c r="P57" i="3"/>
  <c r="P60" i="3" s="1"/>
  <c r="P74" i="3" s="1"/>
  <c r="P78" i="3" s="1"/>
  <c r="L54" i="3"/>
  <c r="L10" i="6" s="1"/>
  <c r="L57" i="3"/>
  <c r="L60" i="3" s="1"/>
  <c r="L74" i="3" s="1"/>
  <c r="L78" i="3" s="1"/>
  <c r="O54" i="3"/>
  <c r="O10" i="6" s="1"/>
  <c r="O57" i="3"/>
  <c r="O60" i="3" s="1"/>
  <c r="O74" i="3" s="1"/>
  <c r="O78" i="3" s="1"/>
  <c r="N54" i="3"/>
  <c r="N55" i="3" s="1"/>
  <c r="N57" i="3"/>
  <c r="N60" i="3" s="1"/>
  <c r="N74" i="3" s="1"/>
  <c r="N78" i="3" s="1"/>
  <c r="K54" i="3"/>
  <c r="K10" i="6" s="1"/>
  <c r="K57" i="3"/>
  <c r="K60" i="3" s="1"/>
  <c r="K74" i="3" s="1"/>
  <c r="K78" i="3" s="1"/>
  <c r="H54" i="3"/>
  <c r="H55" i="3" s="1"/>
  <c r="H57" i="3"/>
  <c r="S51" i="3"/>
  <c r="I54" i="3"/>
  <c r="C10" i="3" s="1"/>
  <c r="Q54" i="3"/>
  <c r="Q92" i="3" s="1"/>
  <c r="Q93" i="3" s="1"/>
  <c r="T51" i="3"/>
  <c r="O8" i="6"/>
  <c r="P8" i="6"/>
  <c r="N8" i="6"/>
  <c r="J8" i="6"/>
  <c r="K8" i="6"/>
  <c r="Q8" i="6"/>
  <c r="M8" i="6"/>
  <c r="L8" i="6"/>
  <c r="P20" i="6"/>
  <c r="O21" i="6"/>
  <c r="I52" i="3"/>
  <c r="Q52" i="3"/>
  <c r="M52" i="3"/>
  <c r="J52" i="3"/>
  <c r="O52" i="3"/>
  <c r="N52" i="3"/>
  <c r="P52" i="3"/>
  <c r="L52" i="3"/>
  <c r="K52" i="3"/>
  <c r="H52" i="3"/>
  <c r="Q107" i="17" l="1"/>
  <c r="Q111" i="17" s="1"/>
  <c r="Q113" i="17" s="1"/>
  <c r="Q94" i="17"/>
  <c r="Q98" i="17" s="1"/>
  <c r="Q94" i="16"/>
  <c r="Q98" i="16" s="1"/>
  <c r="Q100" i="16" s="1"/>
  <c r="T54" i="3"/>
  <c r="H60" i="3"/>
  <c r="H74" i="3" s="1"/>
  <c r="M10" i="6"/>
  <c r="I55" i="3"/>
  <c r="Q10" i="6"/>
  <c r="D31" i="6" s="1"/>
  <c r="Q55" i="3"/>
  <c r="J10" i="6"/>
  <c r="P10" i="6"/>
  <c r="K55" i="3"/>
  <c r="S54" i="3"/>
  <c r="O55" i="3"/>
  <c r="L55" i="3"/>
  <c r="N10" i="6"/>
  <c r="Q74" i="3"/>
  <c r="T60" i="3"/>
  <c r="I74" i="3"/>
  <c r="J87" i="3"/>
  <c r="K79" i="3"/>
  <c r="K87" i="3"/>
  <c r="P79" i="3"/>
  <c r="P87" i="3"/>
  <c r="L79" i="3"/>
  <c r="L87" i="3"/>
  <c r="O79" i="3"/>
  <c r="O87" i="3"/>
  <c r="N79" i="3"/>
  <c r="N87" i="3"/>
  <c r="M79" i="3"/>
  <c r="M87" i="3"/>
  <c r="Q20" i="6"/>
  <c r="Q21" i="6" s="1"/>
  <c r="P21" i="6"/>
  <c r="N61" i="3"/>
  <c r="N12" i="6"/>
  <c r="N16" i="6" s="1"/>
  <c r="Q61" i="3"/>
  <c r="Q12" i="6"/>
  <c r="Q16" i="6" s="1"/>
  <c r="K61" i="3"/>
  <c r="K12" i="6"/>
  <c r="K16" i="6" s="1"/>
  <c r="O61" i="3"/>
  <c r="O12" i="6"/>
  <c r="O16" i="6" s="1"/>
  <c r="J61" i="3"/>
  <c r="J12" i="6"/>
  <c r="I61" i="3"/>
  <c r="I16" i="6"/>
  <c r="L61" i="3"/>
  <c r="L12" i="6"/>
  <c r="L16" i="6" s="1"/>
  <c r="P61" i="3"/>
  <c r="P12" i="6"/>
  <c r="P16" i="6" s="1"/>
  <c r="M61" i="3"/>
  <c r="M12" i="6"/>
  <c r="M16" i="6" s="1"/>
  <c r="H61" i="3"/>
  <c r="H16" i="6"/>
  <c r="Q100" i="17" l="1"/>
  <c r="S60" i="3"/>
  <c r="J16" i="6"/>
  <c r="J23" i="6" s="1"/>
  <c r="Q78" i="3"/>
  <c r="O23" i="6"/>
  <c r="N23" i="6"/>
  <c r="K23" i="6"/>
  <c r="M23" i="6"/>
  <c r="L23" i="6"/>
  <c r="D32" i="6"/>
  <c r="D33" i="6" s="1"/>
  <c r="J79" i="3"/>
  <c r="Q23" i="6"/>
  <c r="H31" i="6"/>
  <c r="H32" i="6" s="1"/>
  <c r="H33" i="6" s="1"/>
  <c r="P23" i="6"/>
  <c r="Q79" i="3" l="1"/>
  <c r="Q104" i="3"/>
  <c r="Q105" i="3" s="1"/>
  <c r="Q106" i="3" s="1"/>
  <c r="Q87" i="3"/>
  <c r="T78" i="3"/>
  <c r="H30" i="6"/>
  <c r="H35" i="6" s="1"/>
  <c r="D30" i="6"/>
  <c r="D35" i="6" s="1"/>
  <c r="Q107" i="3" l="1"/>
  <c r="Q111" i="3" s="1"/>
  <c r="Q94" i="3"/>
  <c r="Q98" i="3" s="1"/>
  <c r="H40" i="6"/>
  <c r="C119" i="3"/>
  <c r="D40" i="6"/>
  <c r="D42" i="6" s="1"/>
  <c r="L35" i="6"/>
  <c r="L28" i="6"/>
  <c r="L36" i="6"/>
  <c r="L27" i="6"/>
  <c r="L29" i="6"/>
  <c r="Q100" i="3" l="1"/>
  <c r="C18" i="1" s="1"/>
  <c r="C15" i="1"/>
  <c r="Q113" i="3"/>
  <c r="C17" i="1" s="1"/>
  <c r="C14" i="1"/>
  <c r="L42" i="6"/>
  <c r="L41" i="6"/>
  <c r="H42" i="6"/>
</calcChain>
</file>

<file path=xl/sharedStrings.xml><?xml version="1.0" encoding="utf-8"?>
<sst xmlns="http://schemas.openxmlformats.org/spreadsheetml/2006/main" count="698" uniqueCount="239">
  <si>
    <t>Deal Overview:</t>
  </si>
  <si>
    <t> </t>
  </si>
  <si>
    <t>Table of Contents:</t>
  </si>
  <si>
    <t xml:space="preserve">Company: </t>
  </si>
  <si>
    <t xml:space="preserve">ABC/SNS Health </t>
  </si>
  <si>
    <t>Industry:</t>
  </si>
  <si>
    <t>Senario</t>
  </si>
  <si>
    <t>EV/EBITDA</t>
  </si>
  <si>
    <t>Discount Rate</t>
  </si>
  <si>
    <t>Last Modified:</t>
  </si>
  <si>
    <t>Authors:</t>
  </si>
  <si>
    <t>Legend:</t>
  </si>
  <si>
    <t>Name:</t>
  </si>
  <si>
    <t>xxx</t>
  </si>
  <si>
    <t>Hard Coded Figure</t>
  </si>
  <si>
    <t>Email:</t>
  </si>
  <si>
    <t>Soft Coded Figure</t>
  </si>
  <si>
    <t>Phone Number:</t>
  </si>
  <si>
    <t>Reference from Preceding Cell</t>
  </si>
  <si>
    <t>Change in Formula/Odd Calculation</t>
  </si>
  <si>
    <t>Reference from Other Worksheet</t>
  </si>
  <si>
    <t>ABC</t>
  </si>
  <si>
    <t>Actual</t>
  </si>
  <si>
    <t>Projections</t>
  </si>
  <si>
    <t>Period Start</t>
  </si>
  <si>
    <t>Period End</t>
  </si>
  <si>
    <t>Unit</t>
  </si>
  <si>
    <t>Fiscal Year</t>
  </si>
  <si>
    <t>Days in Period</t>
  </si>
  <si>
    <t>Days in Year</t>
  </si>
  <si>
    <t>Financial Summary</t>
  </si>
  <si>
    <t>Revenue</t>
  </si>
  <si>
    <t>[$]</t>
  </si>
  <si>
    <t>Growth</t>
  </si>
  <si>
    <t>[%]</t>
  </si>
  <si>
    <t xml:space="preserve">Cost of Sales </t>
  </si>
  <si>
    <t>Purchases</t>
  </si>
  <si>
    <t>Sales Commission</t>
  </si>
  <si>
    <t>Total Cost of Sales</t>
  </si>
  <si>
    <t>Gross Profit</t>
  </si>
  <si>
    <t>Margin</t>
  </si>
  <si>
    <t>Operating Expenses</t>
  </si>
  <si>
    <t>G &amp; A</t>
  </si>
  <si>
    <t>Facility/Office Rent</t>
  </si>
  <si>
    <t>Bad Debt Expense</t>
  </si>
  <si>
    <t>Other</t>
  </si>
  <si>
    <t>Total Operating Expenses</t>
  </si>
  <si>
    <t>EBITDA (Contribution)</t>
  </si>
  <si>
    <t>should be EBIT</t>
  </si>
  <si>
    <t>PURCHASE PRICE (CDN$)</t>
  </si>
  <si>
    <t>Working Capital</t>
  </si>
  <si>
    <t>Additional $100k per year</t>
  </si>
  <si>
    <t>CAPEX</t>
  </si>
  <si>
    <t>Additional $1mm per year</t>
  </si>
  <si>
    <t>Acquisition costs</t>
  </si>
  <si>
    <t>Exit Value</t>
  </si>
  <si>
    <t>6.5X EBITDA</t>
  </si>
  <si>
    <t>Debt Assumed</t>
  </si>
  <si>
    <t>Strucure</t>
  </si>
  <si>
    <t>100% share purchase</t>
  </si>
  <si>
    <t>Sellers</t>
  </si>
  <si>
    <t>John and Helen Smith</t>
  </si>
  <si>
    <t>Salaries &amp; Benefits</t>
  </si>
  <si>
    <t>EBIT</t>
  </si>
  <si>
    <t>changed to EBIT</t>
  </si>
  <si>
    <t>changed margins</t>
  </si>
  <si>
    <t>x</t>
  </si>
  <si>
    <t>Discounted Cash Flow Model</t>
  </si>
  <si>
    <t>Company ABC/SNS Health</t>
  </si>
  <si>
    <t>All $ in CAD 000's unless otherwise stated</t>
  </si>
  <si>
    <t>Assumptions</t>
  </si>
  <si>
    <t>Entry/Exit Assumptions</t>
  </si>
  <si>
    <t>Operating Assumptions</t>
  </si>
  <si>
    <t>Other Inputs</t>
  </si>
  <si>
    <t>Purchase Price</t>
  </si>
  <si>
    <t>CapEx</t>
  </si>
  <si>
    <t>Valuation Date</t>
  </si>
  <si>
    <t>Purchase Multiple</t>
  </si>
  <si>
    <t>Change in NWC</t>
  </si>
  <si>
    <t>Closing Date</t>
  </si>
  <si>
    <t>Acquisition Costs</t>
  </si>
  <si>
    <t>Tax Rate</t>
  </si>
  <si>
    <t>Fiscal Year End</t>
  </si>
  <si>
    <t>Equity Value</t>
  </si>
  <si>
    <t>WACC</t>
  </si>
  <si>
    <t>D&amp;A % revenue</t>
  </si>
  <si>
    <t>Exit Multiple Assumptions</t>
  </si>
  <si>
    <t>Deal Structure Assumptions</t>
  </si>
  <si>
    <t>Exit Multiple</t>
  </si>
  <si>
    <t>Income Statement</t>
  </si>
  <si>
    <t>% growth</t>
  </si>
  <si>
    <t>Cost of Sales</t>
  </si>
  <si>
    <t>% of revenue</t>
  </si>
  <si>
    <t>% margin</t>
  </si>
  <si>
    <t>EBITDA</t>
  </si>
  <si>
    <t>Taxes</t>
  </si>
  <si>
    <t>% tax rate</t>
  </si>
  <si>
    <t>NOPAT</t>
  </si>
  <si>
    <t>% revenue</t>
  </si>
  <si>
    <t>PP&amp;E Schedule</t>
  </si>
  <si>
    <t>% sales</t>
  </si>
  <si>
    <t>Depreciation &amp; Amortization</t>
  </si>
  <si>
    <t>% revenue (assumed)</t>
  </si>
  <si>
    <t>% of CapEx</t>
  </si>
  <si>
    <t>Unlevered Free Cash Flow Waterfall</t>
  </si>
  <si>
    <t>(+) Depreciation</t>
  </si>
  <si>
    <t>(-) Capital Expenditures</t>
  </si>
  <si>
    <t>(-) Change in NWC</t>
  </si>
  <si>
    <t>Unlevered Free Cash Flow</t>
  </si>
  <si>
    <t>Date for Valuation</t>
  </si>
  <si>
    <t>Date For Discounting Cash Flows</t>
  </si>
  <si>
    <t>Period, Stub Adjusted</t>
  </si>
  <si>
    <t>Discount Period, Stub and Mid-Year Adjusted</t>
  </si>
  <si>
    <t>Present Value of Cash Flows</t>
  </si>
  <si>
    <t>Present Value of Unlevered Free Cash Flow</t>
  </si>
  <si>
    <t>Enterprise Value - Multiples Method</t>
  </si>
  <si>
    <t>Discounted Cash Flow Output</t>
  </si>
  <si>
    <t>Discounted Cash Flow</t>
  </si>
  <si>
    <t>(+) Depreciation &amp; Amortization</t>
  </si>
  <si>
    <t>Date of Valuation</t>
  </si>
  <si>
    <t>EV Calculation - Multiples Method</t>
  </si>
  <si>
    <t>Terminal Value % of TEV</t>
  </si>
  <si>
    <t>PV of UFCF % of TEV</t>
  </si>
  <si>
    <t>Implied TV Exit EBITDA Multiple</t>
  </si>
  <si>
    <t>PV of UFCF</t>
  </si>
  <si>
    <t>Final Year EBITDA</t>
  </si>
  <si>
    <t>Terminal Value</t>
  </si>
  <si>
    <t>PV of Terminal Value</t>
  </si>
  <si>
    <t>Enterprise Value</t>
  </si>
  <si>
    <t>(-) Outstanding Debt</t>
  </si>
  <si>
    <t>(-) Minority Interest</t>
  </si>
  <si>
    <t>(+) Cash and Cash Equivalents</t>
  </si>
  <si>
    <t>Implied Equity Value</t>
  </si>
  <si>
    <t>Implied Upside</t>
  </si>
  <si>
    <t>EV Calculation - GGM</t>
  </si>
  <si>
    <t>Long Term Growth Rate</t>
  </si>
  <si>
    <t>2024 x (1+g)</t>
  </si>
  <si>
    <t>WACC Calculation</t>
  </si>
  <si>
    <t>Beta Calculation</t>
  </si>
  <si>
    <t>Company</t>
  </si>
  <si>
    <t>Levered Beta</t>
  </si>
  <si>
    <t>Debt</t>
  </si>
  <si>
    <t>D/E</t>
  </si>
  <si>
    <t>Unlevered Beta</t>
  </si>
  <si>
    <t>Correlation</t>
  </si>
  <si>
    <t>Cost of Equity</t>
  </si>
  <si>
    <t>Risk Free Rate (10 Year Treasury Yield)</t>
  </si>
  <si>
    <t>Equity Risk Premium</t>
  </si>
  <si>
    <t>Average Correlation</t>
  </si>
  <si>
    <t>Total Beta</t>
  </si>
  <si>
    <t>Illiquidity Discount</t>
  </si>
  <si>
    <t>Min</t>
  </si>
  <si>
    <t>Size Premium</t>
  </si>
  <si>
    <t>CAPM/Cost of Equity</t>
  </si>
  <si>
    <t>Mean</t>
  </si>
  <si>
    <t>Median</t>
  </si>
  <si>
    <t>Cost of Debt</t>
  </si>
  <si>
    <t>Interest Rate on Debt</t>
  </si>
  <si>
    <t>Max</t>
  </si>
  <si>
    <t>Cost of Debt Post-Tax</t>
  </si>
  <si>
    <t>Relevered Beta</t>
  </si>
  <si>
    <t>Optimal D/E</t>
  </si>
  <si>
    <t>Total Equity</t>
  </si>
  <si>
    <t>ABC Corp.</t>
  </si>
  <si>
    <t>Total Debt</t>
  </si>
  <si>
    <t>Current Debt/Equity Ratio</t>
  </si>
  <si>
    <t>Current Equity/Capital</t>
  </si>
  <si>
    <t>Current Debt/Capital</t>
  </si>
  <si>
    <t>Optimal Debt/Equity Ratio</t>
  </si>
  <si>
    <t>Optimal Equity/Capital</t>
  </si>
  <si>
    <t>Optimal Debt/Capital</t>
  </si>
  <si>
    <t>Comparable Companies Analysis</t>
  </si>
  <si>
    <t>Share</t>
  </si>
  <si>
    <t>Shares</t>
  </si>
  <si>
    <t>Levered</t>
  </si>
  <si>
    <t>Market</t>
  </si>
  <si>
    <t>Enterprise</t>
  </si>
  <si>
    <t>EBITDA Margin</t>
  </si>
  <si>
    <t>EV/Sales</t>
  </si>
  <si>
    <t>Debt/Equity</t>
  </si>
  <si>
    <t>Sales</t>
  </si>
  <si>
    <t>Price</t>
  </si>
  <si>
    <t>Outstanding</t>
  </si>
  <si>
    <t>Beta</t>
  </si>
  <si>
    <t>Cap</t>
  </si>
  <si>
    <t>Value</t>
  </si>
  <si>
    <t>LTM</t>
  </si>
  <si>
    <t>NTM</t>
  </si>
  <si>
    <t>Ratio</t>
  </si>
  <si>
    <t>Ticker</t>
  </si>
  <si>
    <t>Jamieson Wellness (TSX: JWEL)</t>
  </si>
  <si>
    <t>JWEL</t>
  </si>
  <si>
    <t>110.7</t>
  </si>
  <si>
    <t>USANA Health Sciences (NYSE: USNA)</t>
  </si>
  <si>
    <t>USNA</t>
  </si>
  <si>
    <t>Herbalife (NYSE: HLF)</t>
  </si>
  <si>
    <t>N/A</t>
  </si>
  <si>
    <t>HLF</t>
  </si>
  <si>
    <t>Medifast (NYSE: MED)</t>
  </si>
  <si>
    <t>MED</t>
  </si>
  <si>
    <t>LifeVantage (Nasdaq: LFVN)</t>
  </si>
  <si>
    <t>LFVN</t>
  </si>
  <si>
    <t>Nature’s Sunshine (Nasdaq: NATR)</t>
  </si>
  <si>
    <t>NATR</t>
  </si>
  <si>
    <t>Minimum</t>
  </si>
  <si>
    <t>Average</t>
  </si>
  <si>
    <t>Average D&amp;A as % of Reenue</t>
  </si>
  <si>
    <t xml:space="preserve">% of </t>
  </si>
  <si>
    <t>D&amp;A</t>
  </si>
  <si>
    <t>Preliminary Base Case</t>
  </si>
  <si>
    <t>D&amp;A as a %</t>
  </si>
  <si>
    <t>of revenue</t>
  </si>
  <si>
    <t>FY'21-22A</t>
  </si>
  <si>
    <t>FY'23-30E</t>
  </si>
  <si>
    <t>Q1</t>
  </si>
  <si>
    <t>Q3</t>
  </si>
  <si>
    <t>G&amp;A</t>
  </si>
  <si>
    <t>Current Equity Value</t>
  </si>
  <si>
    <t>Blended</t>
  </si>
  <si>
    <t>Gordon Growth Method</t>
  </si>
  <si>
    <t>Multiples Method</t>
  </si>
  <si>
    <t>Debt Units</t>
  </si>
  <si>
    <t>Equity Values Units</t>
  </si>
  <si>
    <t>Depreciation Assumptions</t>
  </si>
  <si>
    <t xml:space="preserve">Comps </t>
  </si>
  <si>
    <t>Assumption Breakdown</t>
  </si>
  <si>
    <t>Data Given (Recalcuated)</t>
  </si>
  <si>
    <t>Data Given (Original)</t>
  </si>
  <si>
    <t>Implied Equity Value - GGM</t>
  </si>
  <si>
    <t>Implied Equity Value - Multiples</t>
  </si>
  <si>
    <t>Consumer Goods</t>
  </si>
  <si>
    <t>Implied Upside - GGM</t>
  </si>
  <si>
    <t>Implied Upside - Multiples</t>
  </si>
  <si>
    <t>Output</t>
  </si>
  <si>
    <t>Sensitivity Analysis</t>
  </si>
  <si>
    <t>DCF Model - Bear (3)</t>
  </si>
  <si>
    <t>DCF Model - Bull (2)</t>
  </si>
  <si>
    <t>DCF Model - Base (1)</t>
  </si>
  <si>
    <t>Outputs -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</si>
</sst>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_);[Red]\(&quot;$&quot;#,##0\)"/>
    <numFmt numFmtId="168" formatCode="_(* #,##0.0_);_(* \(#,##0.0\);_(* &quot;-&quot;??_);_(@_)"/>
    <numFmt numFmtId="169" formatCode="#,##0.0"/>
    <numFmt numFmtId="170" formatCode="_-* #,##0.0_-;\-* #,##0.0_-;_-* &quot;-&quot;??_-;_-@_-"/>
    <numFmt numFmtId="171" formatCode="0.0%"/>
    <numFmt numFmtId="172" formatCode="&quot;FY&quot;General"/>
    <numFmt numFmtId="173" formatCode="General&quot;A&quot;"/>
    <numFmt numFmtId="174" formatCode="[$-1009]d\-mmm\-yy;@"/>
    <numFmt numFmtId="175" formatCode="#,##0.0\ \ ;\(#,##0.0\)\ ;\ &quot;-&quot;\ \ "/>
    <numFmt numFmtId="176" formatCode="&quot;FY&quot;0\A"/>
    <numFmt numFmtId="177" formatCode="&quot;FY&quot;0\E"/>
    <numFmt numFmtId="178" formatCode="#,##0_);\(#,##0\);_-"/>
    <numFmt numFmtId="179" formatCode="0.0\x_)"/>
    <numFmt numFmtId="180" formatCode="#,##0.00_);\(#,##0.00\);\ \-\ \-\ "/>
    <numFmt numFmtId="181" formatCode="#,##0.0_);\(#,##0.0\);\ \-\ \-\ "/>
    <numFmt numFmtId="182" formatCode="#,##0.0%_);\(#,##0.0%\);\ \-\ \-\ "/>
    <numFmt numFmtId="183" formatCode="#,##0.00%_);\(#,##0.00%\);\ \-\ \-\ "/>
    <numFmt numFmtId="184" formatCode="#,##0%_);\(#,##0%\);\ \-\ \-\ "/>
    <numFmt numFmtId="185" formatCode="&quot;$&quot;#,##0.00_);\(&quot;$&quot;#,##0.00\);\ \-\ \-\ "/>
    <numFmt numFmtId="186" formatCode="#,##0_);\(#,##0\);\ \-\ \-\ "/>
    <numFmt numFmtId="187" formatCode="#,##0.0\x_);\(#,##0.0\x\);\ \-\ \-\ "/>
    <numFmt numFmtId="188" formatCode="#,##0.00\x_);\(#,##0.00\x\);\ \-\ \-\ "/>
    <numFmt numFmtId="189" formatCode="&quot;$&quot;#,##0.00"/>
    <numFmt numFmtId="190" formatCode="#,##0.0_);[Red]\(#,##0.0\)"/>
    <numFmt numFmtId="191" formatCode="0.0\x\ &quot;EBITDA&quot;"/>
  </numFmts>
  <fonts count="7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rgb="FF0000E1"/>
      <name val="Aptos Narrow"/>
      <family val="2"/>
      <scheme val="minor"/>
    </font>
    <font>
      <i/>
      <sz val="10"/>
      <name val="Aptos Narrow"/>
      <family val="2"/>
      <scheme val="minor"/>
    </font>
    <font>
      <i/>
      <sz val="10"/>
      <color rgb="FF0000E1"/>
      <name val="Aptos Narrow"/>
      <family val="2"/>
      <scheme val="minor"/>
    </font>
    <font>
      <i/>
      <sz val="10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rial"/>
      <family val="2"/>
    </font>
    <font>
      <b/>
      <sz val="10"/>
      <color indexed="9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4"/>
      <color theme="1"/>
      <name val="Garamond"/>
      <family val="1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i/>
      <sz val="10"/>
      <color theme="1"/>
      <name val="Garamond"/>
      <family val="1"/>
    </font>
    <font>
      <u/>
      <sz val="11"/>
      <color theme="1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u/>
      <sz val="12"/>
      <color rgb="FF0563C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Garamond"/>
      <family val="1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0"/>
      <name val="Helvetica"/>
      <family val="2"/>
    </font>
    <font>
      <sz val="11"/>
      <color indexed="0"/>
      <name val="Aptos Narrow"/>
      <family val="2"/>
      <scheme val="minor"/>
    </font>
    <font>
      <sz val="11"/>
      <color indexed="51"/>
      <name val="Aptos Narrow"/>
      <family val="2"/>
      <scheme val="minor"/>
    </font>
    <font>
      <b/>
      <sz val="11"/>
      <color indexed="12"/>
      <name val="Aptos Narrow"/>
      <family val="2"/>
      <scheme val="minor"/>
    </font>
    <font>
      <sz val="11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9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Trebuchet MS"/>
      <family val="2"/>
    </font>
    <font>
      <sz val="8"/>
      <color rgb="FF008000"/>
      <name val="Garamond"/>
      <family val="1"/>
    </font>
    <font>
      <sz val="11"/>
      <color rgb="FF008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008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u val="singleAccounting"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2"/>
      <color rgb="FF008000"/>
      <name val="Arial"/>
      <family val="2"/>
    </font>
    <font>
      <i/>
      <sz val="11"/>
      <color rgb="FF0000F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824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3839"/>
        <bgColor indexed="64"/>
      </patternFill>
    </fill>
    <fill>
      <patternFill patternType="solid">
        <fgColor rgb="FF182434"/>
        <bgColor rgb="FF000000"/>
      </patternFill>
    </fill>
  </fills>
  <borders count="36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25" fillId="0" borderId="0" applyNumberFormat="0" applyFill="0" applyBorder="0" applyAlignment="0" applyProtection="0"/>
    <xf numFmtId="0" fontId="1" fillId="0" borderId="0"/>
    <xf numFmtId="0" fontId="39" fillId="0" borderId="0"/>
    <xf numFmtId="0" fontId="18" fillId="0" borderId="0" applyFill="0" applyBorder="0" applyProtection="0">
      <protection locked="0"/>
    </xf>
    <xf numFmtId="0" fontId="48" fillId="0" borderId="0"/>
    <xf numFmtId="166" fontId="55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58" fillId="0" borderId="17"/>
    <xf numFmtId="0" fontId="1" fillId="0" borderId="0"/>
    <xf numFmtId="0" fontId="56" fillId="0" borderId="0"/>
    <xf numFmtId="0" fontId="59" fillId="0" borderId="0"/>
    <xf numFmtId="0" fontId="60" fillId="0" borderId="0"/>
    <xf numFmtId="0" fontId="54" fillId="0" borderId="0"/>
    <xf numFmtId="0" fontId="54" fillId="0" borderId="0"/>
    <xf numFmtId="0" fontId="55" fillId="0" borderId="0"/>
    <xf numFmtId="0" fontId="61" fillId="0" borderId="0"/>
    <xf numFmtId="0" fontId="62" fillId="0" borderId="0"/>
    <xf numFmtId="0" fontId="1" fillId="0" borderId="0"/>
    <xf numFmtId="0" fontId="56" fillId="0" borderId="0"/>
    <xf numFmtId="0" fontId="57" fillId="0" borderId="0"/>
    <xf numFmtId="0" fontId="56" fillId="0" borderId="0"/>
    <xf numFmtId="9" fontId="55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393">
    <xf numFmtId="0" fontId="0" fillId="0" borderId="0" xfId="0"/>
    <xf numFmtId="168" fontId="4" fillId="0" borderId="0" xfId="3" applyNumberFormat="1" applyFont="1" applyAlignment="1">
      <alignment horizontal="right"/>
    </xf>
    <xf numFmtId="169" fontId="5" fillId="2" borderId="1" xfId="3" applyNumberFormat="1" applyFont="1" applyFill="1" applyBorder="1"/>
    <xf numFmtId="169" fontId="5" fillId="2" borderId="0" xfId="3" applyNumberFormat="1" applyFont="1" applyFill="1"/>
    <xf numFmtId="0" fontId="4" fillId="0" borderId="0" xfId="3" applyFont="1"/>
    <xf numFmtId="0" fontId="4" fillId="0" borderId="0" xfId="3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3" applyFont="1"/>
    <xf numFmtId="169" fontId="4" fillId="0" borderId="1" xfId="3" applyNumberFormat="1" applyFont="1" applyBorder="1"/>
    <xf numFmtId="169" fontId="4" fillId="0" borderId="0" xfId="3" applyNumberFormat="1" applyFont="1"/>
    <xf numFmtId="170" fontId="7" fillId="3" borderId="2" xfId="1" applyNumberFormat="1" applyFont="1" applyFill="1" applyBorder="1" applyAlignment="1">
      <alignment horizontal="right"/>
    </xf>
    <xf numFmtId="0" fontId="7" fillId="0" borderId="0" xfId="3" applyFont="1" applyAlignment="1">
      <alignment horizontal="right"/>
    </xf>
    <xf numFmtId="171" fontId="4" fillId="0" borderId="0" xfId="3" applyNumberFormat="1" applyFont="1"/>
    <xf numFmtId="166" fontId="4" fillId="0" borderId="0" xfId="3" applyNumberFormat="1" applyFont="1"/>
    <xf numFmtId="169" fontId="4" fillId="2" borderId="0" xfId="3" applyNumberFormat="1" applyFont="1" applyFill="1"/>
    <xf numFmtId="171" fontId="8" fillId="0" borderId="0" xfId="3" applyNumberFormat="1" applyFont="1" applyAlignment="1">
      <alignment horizontal="right"/>
    </xf>
    <xf numFmtId="171" fontId="8" fillId="2" borderId="1" xfId="3" applyNumberFormat="1" applyFont="1" applyFill="1" applyBorder="1" applyAlignment="1">
      <alignment horizontal="right"/>
    </xf>
    <xf numFmtId="171" fontId="8" fillId="2" borderId="0" xfId="3" applyNumberFormat="1" applyFont="1" applyFill="1" applyAlignment="1">
      <alignment horizontal="right"/>
    </xf>
    <xf numFmtId="0" fontId="8" fillId="0" borderId="0" xfId="3" applyFont="1"/>
    <xf numFmtId="0" fontId="8" fillId="0" borderId="0" xfId="3" applyFont="1" applyAlignment="1">
      <alignment horizontal="center"/>
    </xf>
    <xf numFmtId="169" fontId="9" fillId="2" borderId="0" xfId="3" applyNumberFormat="1" applyFont="1" applyFill="1"/>
    <xf numFmtId="0" fontId="9" fillId="0" borderId="0" xfId="3" applyFont="1"/>
    <xf numFmtId="0" fontId="9" fillId="0" borderId="0" xfId="3" applyFont="1" applyAlignment="1">
      <alignment horizontal="center"/>
    </xf>
    <xf numFmtId="168" fontId="4" fillId="0" borderId="0" xfId="3" applyNumberFormat="1" applyFont="1"/>
    <xf numFmtId="169" fontId="4" fillId="2" borderId="1" xfId="3" applyNumberFormat="1" applyFont="1" applyFill="1" applyBorder="1"/>
    <xf numFmtId="169" fontId="9" fillId="2" borderId="4" xfId="3" applyNumberFormat="1" applyFont="1" applyFill="1" applyBorder="1"/>
    <xf numFmtId="169" fontId="9" fillId="2" borderId="3" xfId="3" applyNumberFormat="1" applyFont="1" applyFill="1" applyBorder="1"/>
    <xf numFmtId="0" fontId="4" fillId="0" borderId="3" xfId="3" applyFont="1" applyBorder="1"/>
    <xf numFmtId="0" fontId="4" fillId="0" borderId="3" xfId="3" applyFont="1" applyBorder="1" applyAlignment="1">
      <alignment horizontal="center"/>
    </xf>
    <xf numFmtId="0" fontId="9" fillId="0" borderId="3" xfId="3" applyFont="1" applyBorder="1"/>
    <xf numFmtId="168" fontId="10" fillId="0" borderId="0" xfId="3" applyNumberFormat="1" applyFont="1" applyAlignment="1">
      <alignment horizontal="right"/>
    </xf>
    <xf numFmtId="169" fontId="10" fillId="2" borderId="1" xfId="3" applyNumberFormat="1" applyFont="1" applyFill="1" applyBorder="1"/>
    <xf numFmtId="169" fontId="10" fillId="2" borderId="0" xfId="3" applyNumberFormat="1" applyFont="1" applyFill="1"/>
    <xf numFmtId="0" fontId="10" fillId="0" borderId="0" xfId="3" applyFont="1"/>
    <xf numFmtId="0" fontId="10" fillId="0" borderId="0" xfId="3" applyFont="1" applyAlignment="1">
      <alignment horizontal="center"/>
    </xf>
    <xf numFmtId="168" fontId="9" fillId="0" borderId="3" xfId="3" applyNumberFormat="1" applyFont="1" applyBorder="1" applyAlignment="1">
      <alignment horizontal="right"/>
    </xf>
    <xf numFmtId="0" fontId="9" fillId="0" borderId="3" xfId="3" applyFont="1" applyBorder="1" applyAlignment="1">
      <alignment horizontal="center"/>
    </xf>
    <xf numFmtId="9" fontId="4" fillId="0" borderId="0" xfId="2" applyFont="1" applyAlignment="1">
      <alignment horizontal="right"/>
    </xf>
    <xf numFmtId="169" fontId="11" fillId="2" borderId="1" xfId="3" applyNumberFormat="1" applyFont="1" applyFill="1" applyBorder="1"/>
    <xf numFmtId="169" fontId="11" fillId="2" borderId="0" xfId="3" applyNumberFormat="1" applyFont="1" applyFill="1"/>
    <xf numFmtId="171" fontId="12" fillId="2" borderId="1" xfId="3" applyNumberFormat="1" applyFont="1" applyFill="1" applyBorder="1" applyAlignment="1">
      <alignment horizontal="right"/>
    </xf>
    <xf numFmtId="169" fontId="13" fillId="2" borderId="0" xfId="3" applyNumberFormat="1" applyFont="1" applyFill="1"/>
    <xf numFmtId="0" fontId="14" fillId="0" borderId="0" xfId="3" applyFont="1" applyAlignment="1">
      <alignment horizontal="center"/>
    </xf>
    <xf numFmtId="0" fontId="14" fillId="0" borderId="0" xfId="3" applyFont="1"/>
    <xf numFmtId="168" fontId="9" fillId="0" borderId="0" xfId="3" applyNumberFormat="1" applyFont="1" applyAlignment="1">
      <alignment horizontal="right"/>
    </xf>
    <xf numFmtId="169" fontId="15" fillId="2" borderId="1" xfId="3" applyNumberFormat="1" applyFont="1" applyFill="1" applyBorder="1"/>
    <xf numFmtId="169" fontId="15" fillId="2" borderId="0" xfId="3" applyNumberFormat="1" applyFont="1" applyFill="1"/>
    <xf numFmtId="0" fontId="9" fillId="4" borderId="0" xfId="3" applyFont="1" applyFill="1"/>
    <xf numFmtId="0" fontId="9" fillId="4" borderId="0" xfId="3" applyFont="1" applyFill="1" applyAlignment="1">
      <alignment horizontal="center"/>
    </xf>
    <xf numFmtId="0" fontId="16" fillId="4" borderId="0" xfId="3" applyFont="1" applyFill="1"/>
    <xf numFmtId="3" fontId="4" fillId="0" borderId="0" xfId="3" applyNumberFormat="1" applyFont="1"/>
    <xf numFmtId="172" fontId="5" fillId="0" borderId="0" xfId="3" applyNumberFormat="1" applyFont="1" applyAlignment="1">
      <alignment horizontal="right"/>
    </xf>
    <xf numFmtId="173" fontId="5" fillId="0" borderId="0" xfId="3" applyNumberFormat="1" applyFont="1" applyAlignment="1">
      <alignment horizontal="right"/>
    </xf>
    <xf numFmtId="17" fontId="16" fillId="5" borderId="0" xfId="3" applyNumberFormat="1" applyFont="1" applyFill="1" applyAlignment="1">
      <alignment horizontal="right"/>
    </xf>
    <xf numFmtId="174" fontId="17" fillId="5" borderId="0" xfId="3" applyNumberFormat="1" applyFont="1" applyFill="1" applyAlignment="1">
      <alignment horizontal="center"/>
    </xf>
    <xf numFmtId="0" fontId="16" fillId="5" borderId="0" xfId="3" applyFont="1" applyFill="1" applyAlignment="1">
      <alignment horizontal="center"/>
    </xf>
    <xf numFmtId="0" fontId="19" fillId="5" borderId="0" xfId="4" applyFont="1" applyFill="1" applyAlignment="1">
      <alignment horizontal="left" indent="1"/>
    </xf>
    <xf numFmtId="0" fontId="4" fillId="5" borderId="0" xfId="3" applyFont="1" applyFill="1"/>
    <xf numFmtId="0" fontId="4" fillId="5" borderId="0" xfId="3" applyFont="1" applyFill="1" applyAlignment="1">
      <alignment horizontal="center"/>
    </xf>
    <xf numFmtId="0" fontId="17" fillId="5" borderId="0" xfId="3" applyFont="1" applyFill="1" applyAlignment="1">
      <alignment horizontal="center"/>
    </xf>
    <xf numFmtId="0" fontId="19" fillId="5" borderId="0" xfId="4" applyFont="1" applyFill="1"/>
    <xf numFmtId="175" fontId="2" fillId="5" borderId="0" xfId="4" applyNumberFormat="1" applyFont="1" applyFill="1"/>
    <xf numFmtId="0" fontId="5" fillId="5" borderId="0" xfId="5" applyFont="1" applyFill="1" applyAlignment="1">
      <alignment horizontal="center"/>
    </xf>
    <xf numFmtId="175" fontId="20" fillId="5" borderId="0" xfId="4" applyNumberFormat="1" applyFont="1" applyFill="1"/>
    <xf numFmtId="0" fontId="21" fillId="0" borderId="0" xfId="3" applyFont="1"/>
    <xf numFmtId="0" fontId="22" fillId="0" borderId="0" xfId="3" applyFont="1"/>
    <xf numFmtId="0" fontId="23" fillId="0" borderId="0" xfId="3" applyFont="1"/>
    <xf numFmtId="0" fontId="23" fillId="0" borderId="8" xfId="3" applyFont="1" applyBorder="1"/>
    <xf numFmtId="0" fontId="24" fillId="0" borderId="0" xfId="3" applyFont="1"/>
    <xf numFmtId="0" fontId="3" fillId="0" borderId="0" xfId="0" applyFont="1"/>
    <xf numFmtId="0" fontId="0" fillId="0" borderId="9" xfId="0" applyBorder="1"/>
    <xf numFmtId="0" fontId="27" fillId="0" borderId="0" xfId="0" applyFont="1"/>
    <xf numFmtId="0" fontId="27" fillId="0" borderId="0" xfId="0" applyFont="1" applyAlignment="1">
      <alignment wrapText="1"/>
    </xf>
    <xf numFmtId="9" fontId="27" fillId="0" borderId="0" xfId="0" applyNumberFormat="1" applyFont="1"/>
    <xf numFmtId="0" fontId="30" fillId="0" borderId="0" xfId="0" applyFont="1"/>
    <xf numFmtId="10" fontId="32" fillId="0" borderId="0" xfId="0" applyNumberFormat="1" applyFont="1"/>
    <xf numFmtId="15" fontId="33" fillId="0" borderId="0" xfId="0" applyNumberFormat="1" applyFont="1"/>
    <xf numFmtId="0" fontId="34" fillId="0" borderId="0" xfId="0" applyFont="1"/>
    <xf numFmtId="0" fontId="30" fillId="0" borderId="12" xfId="0" applyFont="1" applyBorder="1" applyAlignment="1">
      <alignment wrapText="1"/>
    </xf>
    <xf numFmtId="0" fontId="35" fillId="0" borderId="14" xfId="0" applyFont="1" applyBorder="1" applyAlignment="1">
      <alignment wrapText="1"/>
    </xf>
    <xf numFmtId="0" fontId="36" fillId="0" borderId="14" xfId="0" applyFont="1" applyBorder="1" applyAlignment="1">
      <alignment wrapText="1"/>
    </xf>
    <xf numFmtId="0" fontId="37" fillId="0" borderId="16" xfId="0" applyFont="1" applyBorder="1" applyAlignment="1">
      <alignment wrapText="1"/>
    </xf>
    <xf numFmtId="0" fontId="38" fillId="0" borderId="0" xfId="0" applyFont="1"/>
    <xf numFmtId="0" fontId="27" fillId="0" borderId="14" xfId="0" applyFont="1" applyBorder="1" applyAlignment="1">
      <alignment wrapText="1"/>
    </xf>
    <xf numFmtId="0" fontId="39" fillId="0" borderId="0" xfId="0" applyFont="1"/>
    <xf numFmtId="0" fontId="40" fillId="6" borderId="0" xfId="6" applyFont="1" applyFill="1" applyAlignment="1">
      <alignment wrapText="1"/>
    </xf>
    <xf numFmtId="0" fontId="40" fillId="0" borderId="0" xfId="6" applyFont="1"/>
    <xf numFmtId="0" fontId="0" fillId="0" borderId="3" xfId="0" applyBorder="1"/>
    <xf numFmtId="0" fontId="3" fillId="0" borderId="3" xfId="0" applyFont="1" applyBorder="1"/>
    <xf numFmtId="0" fontId="41" fillId="0" borderId="0" xfId="0" applyFont="1"/>
    <xf numFmtId="0" fontId="4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9" fontId="0" fillId="0" borderId="9" xfId="0" applyNumberFormat="1" applyBorder="1"/>
    <xf numFmtId="9" fontId="41" fillId="0" borderId="9" xfId="0" applyNumberFormat="1" applyFont="1" applyBorder="1"/>
    <xf numFmtId="9" fontId="41" fillId="0" borderId="0" xfId="0" applyNumberFormat="1" applyFont="1"/>
    <xf numFmtId="9" fontId="0" fillId="0" borderId="0" xfId="0" applyNumberFormat="1"/>
    <xf numFmtId="0" fontId="44" fillId="0" borderId="0" xfId="0" applyFont="1"/>
    <xf numFmtId="0" fontId="2" fillId="0" borderId="0" xfId="0" applyFont="1"/>
    <xf numFmtId="178" fontId="42" fillId="0" borderId="0" xfId="0" applyNumberFormat="1" applyFont="1"/>
    <xf numFmtId="178" fontId="43" fillId="0" borderId="3" xfId="0" applyNumberFormat="1" applyFont="1" applyBorder="1"/>
    <xf numFmtId="178" fontId="43" fillId="0" borderId="19" xfId="0" applyNumberFormat="1" applyFont="1" applyBorder="1"/>
    <xf numFmtId="178" fontId="42" fillId="0" borderId="9" xfId="0" applyNumberFormat="1" applyFont="1" applyBorder="1"/>
    <xf numFmtId="178" fontId="26" fillId="0" borderId="0" xfId="0" applyNumberFormat="1" applyFont="1"/>
    <xf numFmtId="178" fontId="26" fillId="0" borderId="9" xfId="0" applyNumberFormat="1" applyFont="1" applyBorder="1"/>
    <xf numFmtId="178" fontId="3" fillId="0" borderId="3" xfId="0" applyNumberFormat="1" applyFont="1" applyBorder="1"/>
    <xf numFmtId="2" fontId="0" fillId="0" borderId="0" xfId="0" applyNumberFormat="1"/>
    <xf numFmtId="178" fontId="3" fillId="0" borderId="0" xfId="0" applyNumberFormat="1" applyFont="1"/>
    <xf numFmtId="15" fontId="46" fillId="0" borderId="0" xfId="0" applyNumberFormat="1" applyFont="1"/>
    <xf numFmtId="0" fontId="2" fillId="10" borderId="0" xfId="0" applyFont="1" applyFill="1"/>
    <xf numFmtId="0" fontId="0" fillId="10" borderId="0" xfId="0" applyFill="1"/>
    <xf numFmtId="176" fontId="2" fillId="10" borderId="0" xfId="0" applyNumberFormat="1" applyFont="1" applyFill="1"/>
    <xf numFmtId="176" fontId="2" fillId="10" borderId="9" xfId="0" applyNumberFormat="1" applyFont="1" applyFill="1" applyBorder="1"/>
    <xf numFmtId="177" fontId="2" fillId="10" borderId="0" xfId="0" applyNumberFormat="1" applyFont="1" applyFill="1"/>
    <xf numFmtId="171" fontId="0" fillId="0" borderId="0" xfId="0" applyNumberFormat="1"/>
    <xf numFmtId="168" fontId="9" fillId="0" borderId="0" xfId="3" applyNumberFormat="1" applyFont="1"/>
    <xf numFmtId="169" fontId="9" fillId="2" borderId="1" xfId="3" applyNumberFormat="1" applyFont="1" applyFill="1" applyBorder="1"/>
    <xf numFmtId="168" fontId="9" fillId="0" borderId="3" xfId="3" applyNumberFormat="1" applyFont="1" applyBorder="1"/>
    <xf numFmtId="168" fontId="0" fillId="0" borderId="0" xfId="0" applyNumberFormat="1"/>
    <xf numFmtId="171" fontId="41" fillId="0" borderId="0" xfId="0" applyNumberFormat="1" applyFont="1"/>
    <xf numFmtId="171" fontId="41" fillId="0" borderId="9" xfId="0" applyNumberFormat="1" applyFont="1" applyBorder="1"/>
    <xf numFmtId="171" fontId="0" fillId="0" borderId="9" xfId="0" applyNumberFormat="1" applyBorder="1"/>
    <xf numFmtId="171" fontId="42" fillId="0" borderId="0" xfId="0" applyNumberFormat="1" applyFont="1"/>
    <xf numFmtId="171" fontId="42" fillId="0" borderId="9" xfId="0" applyNumberFormat="1" applyFont="1" applyBorder="1"/>
    <xf numFmtId="178" fontId="0" fillId="0" borderId="0" xfId="0" applyNumberFormat="1"/>
    <xf numFmtId="178" fontId="0" fillId="0" borderId="9" xfId="0" applyNumberFormat="1" applyBorder="1"/>
    <xf numFmtId="0" fontId="0" fillId="0" borderId="0" xfId="0" applyAlignment="1">
      <alignment horizontal="center"/>
    </xf>
    <xf numFmtId="0" fontId="0" fillId="0" borderId="19" xfId="0" applyBorder="1"/>
    <xf numFmtId="15" fontId="46" fillId="0" borderId="9" xfId="0" applyNumberFormat="1" applyFont="1" applyBorder="1"/>
    <xf numFmtId="10" fontId="0" fillId="0" borderId="0" xfId="0" applyNumberFormat="1"/>
    <xf numFmtId="10" fontId="26" fillId="0" borderId="0" xfId="0" applyNumberFormat="1" applyFont="1"/>
    <xf numFmtId="178" fontId="3" fillId="0" borderId="9" xfId="0" applyNumberFormat="1" applyFont="1" applyBorder="1"/>
    <xf numFmtId="0" fontId="0" fillId="9" borderId="22" xfId="0" applyFill="1" applyBorder="1"/>
    <xf numFmtId="10" fontId="43" fillId="9" borderId="23" xfId="0" applyNumberFormat="1" applyFont="1" applyFill="1" applyBorder="1"/>
    <xf numFmtId="0" fontId="0" fillId="0" borderId="14" xfId="0" applyBorder="1"/>
    <xf numFmtId="0" fontId="0" fillId="10" borderId="9" xfId="0" applyFill="1" applyBorder="1"/>
    <xf numFmtId="0" fontId="2" fillId="10" borderId="0" xfId="0" applyFont="1" applyFill="1" applyAlignment="1">
      <alignment horizontal="center"/>
    </xf>
    <xf numFmtId="10" fontId="0" fillId="0" borderId="0" xfId="2" applyNumberFormat="1" applyFont="1"/>
    <xf numFmtId="0" fontId="49" fillId="0" borderId="0" xfId="10" applyFont="1"/>
    <xf numFmtId="0" fontId="43" fillId="0" borderId="17" xfId="9" applyFont="1" applyBorder="1" applyAlignment="1" applyProtection="1">
      <alignment horizontal="centerContinuous"/>
    </xf>
    <xf numFmtId="190" fontId="50" fillId="12" borderId="0" xfId="9" applyNumberFormat="1" applyFont="1" applyFill="1" applyBorder="1" applyProtection="1"/>
    <xf numFmtId="3" fontId="43" fillId="13" borderId="17" xfId="9" applyNumberFormat="1" applyFont="1" applyFill="1" applyBorder="1" applyAlignment="1" applyProtection="1">
      <alignment horizontal="center"/>
    </xf>
    <xf numFmtId="3" fontId="51" fillId="13" borderId="17" xfId="9" applyNumberFormat="1" applyFont="1" applyFill="1" applyBorder="1" applyAlignment="1" applyProtection="1">
      <alignment horizontal="center"/>
    </xf>
    <xf numFmtId="171" fontId="43" fillId="13" borderId="0" xfId="2" applyNumberFormat="1" applyFont="1" applyFill="1" applyBorder="1"/>
    <xf numFmtId="38" fontId="49" fillId="0" borderId="14" xfId="9" applyNumberFormat="1" applyFont="1" applyBorder="1" applyAlignment="1" applyProtection="1">
      <alignment horizontal="center"/>
    </xf>
    <xf numFmtId="38" fontId="49" fillId="0" borderId="0" xfId="9" applyNumberFormat="1" applyFont="1" applyBorder="1" applyAlignment="1" applyProtection="1">
      <alignment horizontal="center"/>
    </xf>
    <xf numFmtId="38" fontId="52" fillId="10" borderId="0" xfId="9" applyNumberFormat="1" applyFont="1" applyFill="1" applyBorder="1" applyAlignment="1" applyProtection="1">
      <alignment horizontal="center"/>
    </xf>
    <xf numFmtId="171" fontId="51" fillId="13" borderId="0" xfId="2" applyNumberFormat="1" applyFont="1" applyFill="1" applyBorder="1"/>
    <xf numFmtId="167" fontId="53" fillId="13" borderId="0" xfId="9" applyNumberFormat="1" applyFont="1" applyFill="1" applyBorder="1" applyAlignment="1" applyProtection="1">
      <alignment horizontal="center"/>
    </xf>
    <xf numFmtId="0" fontId="2" fillId="10" borderId="0" xfId="9" applyFont="1" applyFill="1" applyAlignment="1" applyProtection="1">
      <alignment horizontal="center"/>
    </xf>
    <xf numFmtId="189" fontId="52" fillId="10" borderId="0" xfId="9" applyNumberFormat="1" applyFont="1" applyFill="1" applyBorder="1" applyAlignment="1" applyProtection="1">
      <alignment horizontal="centerContinuous"/>
    </xf>
    <xf numFmtId="171" fontId="20" fillId="10" borderId="0" xfId="2" applyNumberFormat="1" applyFont="1" applyFill="1" applyBorder="1" applyAlignment="1" applyProtection="1">
      <alignment horizontal="centerContinuous"/>
    </xf>
    <xf numFmtId="0" fontId="52" fillId="10" borderId="0" xfId="9" applyFont="1" applyFill="1" applyAlignment="1" applyProtection="1">
      <alignment horizontal="centerContinuous"/>
    </xf>
    <xf numFmtId="0" fontId="3" fillId="0" borderId="12" xfId="0" applyFont="1" applyBorder="1"/>
    <xf numFmtId="0" fontId="41" fillId="0" borderId="16" xfId="0" applyFont="1" applyBorder="1" applyAlignment="1">
      <alignment horizontal="left" indent="1"/>
    </xf>
    <xf numFmtId="0" fontId="0" fillId="0" borderId="17" xfId="0" applyBorder="1"/>
    <xf numFmtId="9" fontId="0" fillId="0" borderId="20" xfId="0" applyNumberFormat="1" applyBorder="1"/>
    <xf numFmtId="178" fontId="3" fillId="0" borderId="19" xfId="0" applyNumberFormat="1" applyFont="1" applyBorder="1"/>
    <xf numFmtId="0" fontId="3" fillId="0" borderId="14" xfId="0" applyFont="1" applyBorder="1"/>
    <xf numFmtId="0" fontId="0" fillId="0" borderId="14" xfId="0" applyBorder="1" applyAlignment="1">
      <alignment horizontal="left" indent="1"/>
    </xf>
    <xf numFmtId="0" fontId="0" fillId="0" borderId="14" xfId="0" applyBorder="1" applyAlignment="1">
      <alignment horizontal="left"/>
    </xf>
    <xf numFmtId="2" fontId="0" fillId="0" borderId="9" xfId="0" applyNumberFormat="1" applyBorder="1"/>
    <xf numFmtId="0" fontId="3" fillId="9" borderId="21" xfId="0" applyFont="1" applyFill="1" applyBorder="1"/>
    <xf numFmtId="178" fontId="3" fillId="9" borderId="22" xfId="0" applyNumberFormat="1" applyFont="1" applyFill="1" applyBorder="1"/>
    <xf numFmtId="178" fontId="3" fillId="9" borderId="23" xfId="0" applyNumberFormat="1" applyFont="1" applyFill="1" applyBorder="1"/>
    <xf numFmtId="0" fontId="2" fillId="10" borderId="21" xfId="0" applyFont="1" applyFill="1" applyBorder="1"/>
    <xf numFmtId="0" fontId="0" fillId="10" borderId="22" xfId="0" applyFill="1" applyBorder="1"/>
    <xf numFmtId="176" fontId="2" fillId="10" borderId="22" xfId="0" applyNumberFormat="1" applyFont="1" applyFill="1" applyBorder="1"/>
    <xf numFmtId="176" fontId="2" fillId="10" borderId="23" xfId="0" applyNumberFormat="1" applyFont="1" applyFill="1" applyBorder="1"/>
    <xf numFmtId="177" fontId="2" fillId="10" borderId="22" xfId="0" applyNumberFormat="1" applyFont="1" applyFill="1" applyBorder="1"/>
    <xf numFmtId="177" fontId="2" fillId="10" borderId="23" xfId="0" applyNumberFormat="1" applyFont="1" applyFill="1" applyBorder="1"/>
    <xf numFmtId="0" fontId="3" fillId="0" borderId="16" xfId="0" applyFont="1" applyBorder="1"/>
    <xf numFmtId="171" fontId="0" fillId="0" borderId="9" xfId="0" applyNumberFormat="1" applyBorder="1" applyAlignment="1">
      <alignment horizontal="right"/>
    </xf>
    <xf numFmtId="179" fontId="3" fillId="0" borderId="20" xfId="0" applyNumberFormat="1" applyFont="1" applyBorder="1"/>
    <xf numFmtId="171" fontId="0" fillId="0" borderId="2" xfId="0" applyNumberFormat="1" applyBorder="1" applyAlignment="1">
      <alignment horizontal="center"/>
    </xf>
    <xf numFmtId="37" fontId="63" fillId="0" borderId="25" xfId="7" applyNumberFormat="1" applyFont="1" applyBorder="1" applyAlignment="1">
      <alignment vertical="center"/>
    </xf>
    <xf numFmtId="178" fontId="3" fillId="0" borderId="25" xfId="7" applyNumberFormat="1" applyFont="1" applyBorder="1" applyAlignment="1">
      <alignment vertical="center"/>
    </xf>
    <xf numFmtId="37" fontId="63" fillId="0" borderId="26" xfId="7" applyNumberFormat="1" applyFont="1" applyBorder="1" applyAlignment="1">
      <alignment vertical="center"/>
    </xf>
    <xf numFmtId="178" fontId="3" fillId="0" borderId="27" xfId="7" applyNumberFormat="1" applyFont="1" applyBorder="1" applyAlignment="1">
      <alignment vertical="center"/>
    </xf>
    <xf numFmtId="37" fontId="43" fillId="0" borderId="25" xfId="7" applyNumberFormat="1" applyFont="1" applyBorder="1" applyAlignment="1">
      <alignment vertical="center"/>
    </xf>
    <xf numFmtId="37" fontId="63" fillId="0" borderId="0" xfId="7" applyNumberFormat="1" applyFont="1" applyAlignment="1">
      <alignment vertical="center"/>
    </xf>
    <xf numFmtId="0" fontId="3" fillId="2" borderId="3" xfId="0" applyFont="1" applyFill="1" applyBorder="1"/>
    <xf numFmtId="0" fontId="0" fillId="2" borderId="3" xfId="0" applyFill="1" applyBorder="1"/>
    <xf numFmtId="0" fontId="0" fillId="2" borderId="19" xfId="0" applyFill="1" applyBorder="1"/>
    <xf numFmtId="178" fontId="3" fillId="2" borderId="3" xfId="0" applyNumberFormat="1" applyFont="1" applyFill="1" applyBorder="1"/>
    <xf numFmtId="0" fontId="3" fillId="2" borderId="17" xfId="0" applyFont="1" applyFill="1" applyBorder="1"/>
    <xf numFmtId="178" fontId="26" fillId="0" borderId="20" xfId="0" applyNumberFormat="1" applyFont="1" applyBorder="1"/>
    <xf numFmtId="15" fontId="26" fillId="0" borderId="2" xfId="0" applyNumberFormat="1" applyFont="1" applyBorder="1"/>
    <xf numFmtId="10" fontId="26" fillId="0" borderId="9" xfId="0" applyNumberFormat="1" applyFont="1" applyBorder="1"/>
    <xf numFmtId="15" fontId="65" fillId="0" borderId="2" xfId="0" applyNumberFormat="1" applyFont="1" applyBorder="1" applyAlignment="1">
      <alignment horizontal="center"/>
    </xf>
    <xf numFmtId="0" fontId="66" fillId="0" borderId="0" xfId="0" applyFont="1"/>
    <xf numFmtId="0" fontId="67" fillId="0" borderId="0" xfId="0" applyFont="1"/>
    <xf numFmtId="0" fontId="68" fillId="0" borderId="0" xfId="0" applyFont="1"/>
    <xf numFmtId="0" fontId="68" fillId="0" borderId="0" xfId="0" applyFont="1" applyAlignment="1">
      <alignment horizontal="left"/>
    </xf>
    <xf numFmtId="0" fontId="4" fillId="0" borderId="8" xfId="3" applyFont="1" applyBorder="1"/>
    <xf numFmtId="0" fontId="69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9" borderId="16" xfId="0" applyFont="1" applyFill="1" applyBorder="1" applyAlignment="1">
      <alignment horizontal="left" vertical="center"/>
    </xf>
    <xf numFmtId="0" fontId="3" fillId="9" borderId="17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/>
    </xf>
    <xf numFmtId="0" fontId="41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180" fontId="0" fillId="0" borderId="0" xfId="0" applyNumberFormat="1"/>
    <xf numFmtId="181" fontId="47" fillId="0" borderId="0" xfId="0" applyNumberFormat="1" applyFont="1"/>
    <xf numFmtId="181" fontId="64" fillId="0" borderId="0" xfId="0" applyNumberFormat="1" applyFont="1"/>
    <xf numFmtId="182" fontId="47" fillId="0" borderId="0" xfId="0" applyNumberFormat="1" applyFont="1"/>
    <xf numFmtId="180" fontId="47" fillId="0" borderId="9" xfId="0" applyNumberFormat="1" applyFont="1" applyBorder="1"/>
    <xf numFmtId="0" fontId="0" fillId="0" borderId="14" xfId="0" applyBorder="1" applyAlignment="1">
      <alignment vertical="center"/>
    </xf>
    <xf numFmtId="183" fontId="47" fillId="0" borderId="9" xfId="0" applyNumberFormat="1" applyFont="1" applyBorder="1"/>
    <xf numFmtId="0" fontId="0" fillId="0" borderId="0" xfId="0" applyAlignment="1">
      <alignment horizontal="right"/>
    </xf>
    <xf numFmtId="180" fontId="0" fillId="0" borderId="9" xfId="0" applyNumberFormat="1" applyBorder="1"/>
    <xf numFmtId="180" fontId="47" fillId="0" borderId="20" xfId="0" applyNumberFormat="1" applyFont="1" applyBorder="1"/>
    <xf numFmtId="0" fontId="0" fillId="0" borderId="12" xfId="0" applyBorder="1" applyAlignment="1">
      <alignment horizontal="left" vertical="center"/>
    </xf>
    <xf numFmtId="180" fontId="0" fillId="0" borderId="3" xfId="0" applyNumberFormat="1" applyBorder="1"/>
    <xf numFmtId="182" fontId="42" fillId="0" borderId="3" xfId="0" applyNumberFormat="1" applyFont="1" applyBorder="1"/>
    <xf numFmtId="180" fontId="0" fillId="0" borderId="19" xfId="0" applyNumberFormat="1" applyBorder="1"/>
    <xf numFmtId="183" fontId="47" fillId="0" borderId="20" xfId="0" applyNumberFormat="1" applyFont="1" applyBorder="1"/>
    <xf numFmtId="184" fontId="0" fillId="0" borderId="14" xfId="0" applyNumberFormat="1" applyBorder="1" applyAlignment="1">
      <alignment horizontal="left" vertical="center"/>
    </xf>
    <xf numFmtId="182" fontId="0" fillId="0" borderId="0" xfId="2" applyNumberFormat="1" applyFont="1" applyBorder="1"/>
    <xf numFmtId="0" fontId="3" fillId="0" borderId="12" xfId="0" applyFont="1" applyBorder="1" applyAlignment="1">
      <alignment horizontal="left" vertical="center" indent="1"/>
    </xf>
    <xf numFmtId="183" fontId="42" fillId="0" borderId="9" xfId="0" applyNumberFormat="1" applyFont="1" applyBorder="1"/>
    <xf numFmtId="0" fontId="3" fillId="2" borderId="12" xfId="0" applyFont="1" applyFill="1" applyBorder="1" applyAlignment="1">
      <alignment horizontal="left" vertical="center"/>
    </xf>
    <xf numFmtId="180" fontId="3" fillId="2" borderId="3" xfId="0" applyNumberFormat="1" applyFont="1" applyFill="1" applyBorder="1"/>
    <xf numFmtId="182" fontId="3" fillId="2" borderId="3" xfId="0" applyNumberFormat="1" applyFont="1" applyFill="1" applyBorder="1"/>
    <xf numFmtId="180" fontId="3" fillId="2" borderId="19" xfId="0" applyNumberFormat="1" applyFont="1" applyFill="1" applyBorder="1"/>
    <xf numFmtId="0" fontId="0" fillId="0" borderId="14" xfId="0" applyBorder="1" applyAlignment="1">
      <alignment horizontal="left" vertical="center" indent="1"/>
    </xf>
    <xf numFmtId="182" fontId="47" fillId="0" borderId="9" xfId="0" applyNumberFormat="1" applyFont="1" applyBorder="1"/>
    <xf numFmtId="0" fontId="3" fillId="2" borderId="16" xfId="0" applyFont="1" applyFill="1" applyBorder="1" applyAlignment="1">
      <alignment horizontal="left" vertical="center"/>
    </xf>
    <xf numFmtId="180" fontId="3" fillId="2" borderId="17" xfId="0" applyNumberFormat="1" applyFont="1" applyFill="1" applyBorder="1"/>
    <xf numFmtId="182" fontId="3" fillId="2" borderId="17" xfId="0" applyNumberFormat="1" applyFont="1" applyFill="1" applyBorder="1"/>
    <xf numFmtId="180" fontId="3" fillId="2" borderId="20" xfId="0" applyNumberFormat="1" applyFont="1" applyFill="1" applyBorder="1"/>
    <xf numFmtId="183" fontId="0" fillId="0" borderId="9" xfId="0" applyNumberFormat="1" applyBorder="1"/>
    <xf numFmtId="9" fontId="0" fillId="0" borderId="14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80" fontId="0" fillId="0" borderId="17" xfId="0" applyNumberFormat="1" applyBorder="1"/>
    <xf numFmtId="182" fontId="0" fillId="0" borderId="17" xfId="2" applyNumberFormat="1" applyFont="1" applyBorder="1"/>
    <xf numFmtId="180" fontId="0" fillId="0" borderId="20" xfId="0" applyNumberFormat="1" applyBorder="1"/>
    <xf numFmtId="182" fontId="42" fillId="0" borderId="9" xfId="0" applyNumberFormat="1" applyFont="1" applyBorder="1"/>
    <xf numFmtId="182" fontId="0" fillId="0" borderId="9" xfId="0" applyNumberFormat="1" applyBorder="1"/>
    <xf numFmtId="0" fontId="0" fillId="0" borderId="16" xfId="0" applyBorder="1" applyAlignment="1">
      <alignment horizontal="left"/>
    </xf>
    <xf numFmtId="180" fontId="0" fillId="0" borderId="17" xfId="0" applyNumberFormat="1" applyBorder="1" applyAlignment="1">
      <alignment horizontal="right"/>
    </xf>
    <xf numFmtId="181" fontId="26" fillId="0" borderId="17" xfId="0" applyNumberFormat="1" applyFont="1" applyBorder="1" applyAlignment="1">
      <alignment horizontal="right"/>
    </xf>
    <xf numFmtId="182" fontId="47" fillId="0" borderId="17" xfId="0" applyNumberFormat="1" applyFont="1" applyBorder="1" applyAlignment="1">
      <alignment horizontal="right"/>
    </xf>
    <xf numFmtId="180" fontId="0" fillId="0" borderId="0" xfId="0" applyNumberFormat="1" applyAlignment="1">
      <alignment horizontal="right"/>
    </xf>
    <xf numFmtId="182" fontId="0" fillId="0" borderId="9" xfId="0" applyNumberFormat="1" applyBorder="1" applyAlignment="1">
      <alignment horizontal="right"/>
    </xf>
    <xf numFmtId="4" fontId="0" fillId="0" borderId="0" xfId="0" applyNumberFormat="1"/>
    <xf numFmtId="0" fontId="3" fillId="9" borderId="21" xfId="0" applyFont="1" applyFill="1" applyBorder="1" applyAlignment="1">
      <alignment vertical="center"/>
    </xf>
    <xf numFmtId="0" fontId="3" fillId="0" borderId="28" xfId="0" applyFont="1" applyBorder="1"/>
    <xf numFmtId="185" fontId="0" fillId="0" borderId="29" xfId="0" applyNumberFormat="1" applyBorder="1"/>
    <xf numFmtId="0" fontId="3" fillId="0" borderId="30" xfId="0" applyFont="1" applyBorder="1"/>
    <xf numFmtId="185" fontId="0" fillId="0" borderId="31" xfId="0" applyNumberFormat="1" applyBorder="1"/>
    <xf numFmtId="0" fontId="3" fillId="0" borderId="32" xfId="0" applyFont="1" applyBorder="1"/>
    <xf numFmtId="185" fontId="0" fillId="0" borderId="33" xfId="0" applyNumberFormat="1" applyBorder="1"/>
    <xf numFmtId="178" fontId="65" fillId="0" borderId="25" xfId="7" applyNumberFormat="1" applyFont="1" applyBorder="1" applyAlignment="1">
      <alignment vertical="center"/>
    </xf>
    <xf numFmtId="178" fontId="65" fillId="0" borderId="27" xfId="7" applyNumberFormat="1" applyFont="1" applyBorder="1" applyAlignment="1">
      <alignment vertical="center"/>
    </xf>
    <xf numFmtId="0" fontId="0" fillId="0" borderId="0" xfId="0" applyAlignment="1">
      <alignment vertical="center"/>
    </xf>
    <xf numFmtId="10" fontId="70" fillId="11" borderId="10" xfId="2" applyNumberFormat="1" applyFont="1" applyFill="1" applyBorder="1" applyAlignment="1">
      <alignment horizontal="right" vertical="center"/>
    </xf>
    <xf numFmtId="0" fontId="64" fillId="0" borderId="0" xfId="0" applyFont="1" applyAlignment="1">
      <alignment horizontal="right" vertical="center"/>
    </xf>
    <xf numFmtId="3" fontId="71" fillId="0" borderId="0" xfId="3" applyNumberFormat="1" applyFont="1" applyAlignment="1">
      <alignment horizontal="center" vertical="center"/>
    </xf>
    <xf numFmtId="0" fontId="68" fillId="0" borderId="0" xfId="3" applyFont="1" applyAlignment="1">
      <alignment horizontal="left" vertical="center"/>
    </xf>
    <xf numFmtId="0" fontId="68" fillId="6" borderId="14" xfId="0" applyFont="1" applyFill="1" applyBorder="1" applyAlignment="1">
      <alignment horizontal="left" vertical="center"/>
    </xf>
    <xf numFmtId="186" fontId="47" fillId="6" borderId="0" xfId="0" applyNumberFormat="1" applyFont="1" applyFill="1" applyAlignment="1">
      <alignment vertical="center"/>
    </xf>
    <xf numFmtId="10" fontId="42" fillId="6" borderId="9" xfId="2" applyNumberFormat="1" applyFont="1" applyFill="1" applyBorder="1" applyAlignment="1">
      <alignment vertical="center"/>
    </xf>
    <xf numFmtId="185" fontId="47" fillId="6" borderId="0" xfId="0" applyNumberFormat="1" applyFont="1" applyFill="1" applyAlignment="1">
      <alignment vertical="center"/>
    </xf>
    <xf numFmtId="181" fontId="47" fillId="6" borderId="0" xfId="0" applyNumberFormat="1" applyFont="1" applyFill="1" applyAlignment="1">
      <alignment vertical="center"/>
    </xf>
    <xf numFmtId="0" fontId="68" fillId="6" borderId="16" xfId="0" applyFont="1" applyFill="1" applyBorder="1" applyAlignment="1">
      <alignment horizontal="left" vertical="center"/>
    </xf>
    <xf numFmtId="186" fontId="47" fillId="6" borderId="17" xfId="0" applyNumberFormat="1" applyFont="1" applyFill="1" applyBorder="1" applyAlignment="1">
      <alignment vertical="center"/>
    </xf>
    <xf numFmtId="10" fontId="42" fillId="6" borderId="20" xfId="2" applyNumberFormat="1" applyFont="1" applyFill="1" applyBorder="1" applyAlignment="1">
      <alignment vertical="center"/>
    </xf>
    <xf numFmtId="0" fontId="0" fillId="0" borderId="0" xfId="7" applyFont="1" applyAlignment="1">
      <alignment horizontal="right"/>
    </xf>
    <xf numFmtId="10" fontId="68" fillId="0" borderId="0" xfId="3" applyNumberFormat="1" applyFont="1" applyAlignment="1">
      <alignment horizontal="left" vertical="center"/>
    </xf>
    <xf numFmtId="0" fontId="68" fillId="0" borderId="0" xfId="0" applyFont="1" applyAlignment="1">
      <alignment vertical="center"/>
    </xf>
    <xf numFmtId="180" fontId="47" fillId="6" borderId="0" xfId="0" applyNumberFormat="1" applyFont="1" applyFill="1" applyAlignment="1">
      <alignment vertical="center"/>
    </xf>
    <xf numFmtId="186" fontId="68" fillId="0" borderId="0" xfId="0" applyNumberFormat="1" applyFont="1" applyAlignment="1">
      <alignment vertical="center"/>
    </xf>
    <xf numFmtId="182" fontId="68" fillId="0" borderId="0" xfId="0" applyNumberFormat="1" applyFont="1" applyAlignment="1">
      <alignment vertical="center"/>
    </xf>
    <xf numFmtId="187" fontId="68" fillId="0" borderId="0" xfId="0" applyNumberFormat="1" applyFont="1" applyAlignment="1">
      <alignment vertical="center"/>
    </xf>
    <xf numFmtId="188" fontId="68" fillId="0" borderId="0" xfId="0" applyNumberFormat="1" applyFont="1" applyAlignment="1">
      <alignment vertical="center"/>
    </xf>
    <xf numFmtId="188" fontId="68" fillId="0" borderId="9" xfId="0" applyNumberFormat="1" applyFont="1" applyBorder="1" applyAlignment="1">
      <alignment horizontal="right" vertical="center"/>
    </xf>
    <xf numFmtId="0" fontId="68" fillId="6" borderId="14" xfId="0" applyFont="1" applyFill="1" applyBorder="1" applyAlignment="1">
      <alignment vertical="center"/>
    </xf>
    <xf numFmtId="181" fontId="47" fillId="6" borderId="0" xfId="0" applyNumberFormat="1" applyFont="1" applyFill="1" applyAlignment="1">
      <alignment horizontal="right" vertical="center"/>
    </xf>
    <xf numFmtId="181" fontId="47" fillId="6" borderId="9" xfId="0" applyNumberFormat="1" applyFont="1" applyFill="1" applyBorder="1" applyAlignment="1">
      <alignment vertical="center"/>
    </xf>
    <xf numFmtId="180" fontId="47" fillId="6" borderId="17" xfId="0" applyNumberFormat="1" applyFont="1" applyFill="1" applyBorder="1" applyAlignment="1">
      <alignment vertical="center"/>
    </xf>
    <xf numFmtId="181" fontId="47" fillId="6" borderId="17" xfId="0" applyNumberFormat="1" applyFont="1" applyFill="1" applyBorder="1" applyAlignment="1">
      <alignment vertical="center"/>
    </xf>
    <xf numFmtId="186" fontId="68" fillId="0" borderId="17" xfId="0" applyNumberFormat="1" applyFont="1" applyBorder="1" applyAlignment="1">
      <alignment vertical="center"/>
    </xf>
    <xf numFmtId="182" fontId="68" fillId="0" borderId="17" xfId="0" applyNumberFormat="1" applyFont="1" applyBorder="1" applyAlignment="1">
      <alignment vertical="center"/>
    </xf>
    <xf numFmtId="187" fontId="68" fillId="0" borderId="17" xfId="0" applyNumberFormat="1" applyFont="1" applyBorder="1" applyAlignment="1">
      <alignment vertical="center"/>
    </xf>
    <xf numFmtId="188" fontId="68" fillId="0" borderId="17" xfId="0" applyNumberFormat="1" applyFont="1" applyBorder="1" applyAlignment="1">
      <alignment vertical="center"/>
    </xf>
    <xf numFmtId="188" fontId="68" fillId="0" borderId="20" xfId="0" applyNumberFormat="1" applyFont="1" applyBorder="1" applyAlignment="1">
      <alignment horizontal="right" vertical="center"/>
    </xf>
    <xf numFmtId="0" fontId="68" fillId="6" borderId="16" xfId="0" applyFont="1" applyFill="1" applyBorder="1" applyAlignment="1">
      <alignment vertical="center"/>
    </xf>
    <xf numFmtId="181" fontId="47" fillId="6" borderId="20" xfId="0" applyNumberFormat="1" applyFont="1" applyFill="1" applyBorder="1" applyAlignment="1">
      <alignment vertical="center"/>
    </xf>
    <xf numFmtId="0" fontId="68" fillId="6" borderId="0" xfId="0" applyFont="1" applyFill="1" applyAlignment="1">
      <alignment horizontal="left" vertical="center"/>
    </xf>
    <xf numFmtId="0" fontId="68" fillId="6" borderId="0" xfId="0" applyFont="1" applyFill="1" applyAlignment="1">
      <alignment vertical="center"/>
    </xf>
    <xf numFmtId="0" fontId="67" fillId="6" borderId="12" xfId="0" applyFont="1" applyFill="1" applyBorder="1" applyAlignment="1">
      <alignment horizontal="left" vertical="center"/>
    </xf>
    <xf numFmtId="180" fontId="47" fillId="6" borderId="3" xfId="0" applyNumberFormat="1" applyFont="1" applyFill="1" applyBorder="1" applyAlignment="1">
      <alignment vertical="center"/>
    </xf>
    <xf numFmtId="181" fontId="47" fillId="6" borderId="3" xfId="0" applyNumberFormat="1" applyFont="1" applyFill="1" applyBorder="1" applyAlignment="1">
      <alignment vertical="center"/>
    </xf>
    <xf numFmtId="186" fontId="68" fillId="0" borderId="3" xfId="0" applyNumberFormat="1" applyFont="1" applyBorder="1" applyAlignment="1">
      <alignment vertical="center"/>
    </xf>
    <xf numFmtId="182" fontId="68" fillId="0" borderId="3" xfId="0" applyNumberFormat="1" applyFont="1" applyBorder="1" applyAlignment="1">
      <alignment vertical="center"/>
    </xf>
    <xf numFmtId="188" fontId="68" fillId="0" borderId="3" xfId="0" applyNumberFormat="1" applyFont="1" applyBorder="1" applyAlignment="1">
      <alignment vertical="center"/>
    </xf>
    <xf numFmtId="188" fontId="68" fillId="0" borderId="19" xfId="0" applyNumberFormat="1" applyFont="1" applyBorder="1" applyAlignment="1">
      <alignment vertical="center"/>
    </xf>
    <xf numFmtId="9" fontId="67" fillId="0" borderId="14" xfId="0" applyNumberFormat="1" applyFont="1" applyBorder="1" applyAlignment="1">
      <alignment horizontal="left" vertical="center"/>
    </xf>
    <xf numFmtId="180" fontId="47" fillId="0" borderId="0" xfId="0" applyNumberFormat="1" applyFont="1" applyAlignment="1">
      <alignment vertical="center"/>
    </xf>
    <xf numFmtId="181" fontId="47" fillId="0" borderId="0" xfId="0" applyNumberFormat="1" applyFont="1" applyAlignment="1">
      <alignment vertical="center"/>
    </xf>
    <xf numFmtId="9" fontId="68" fillId="0" borderId="0" xfId="2" applyFont="1" applyFill="1" applyBorder="1" applyAlignment="1">
      <alignment vertical="center"/>
    </xf>
    <xf numFmtId="188" fontId="68" fillId="0" borderId="9" xfId="0" applyNumberFormat="1" applyFont="1" applyBorder="1" applyAlignment="1">
      <alignment vertical="center"/>
    </xf>
    <xf numFmtId="0" fontId="67" fillId="8" borderId="12" xfId="0" applyFont="1" applyFill="1" applyBorder="1" applyAlignment="1">
      <alignment horizontal="left" vertical="center"/>
    </xf>
    <xf numFmtId="180" fontId="75" fillId="8" borderId="3" xfId="0" applyNumberFormat="1" applyFont="1" applyFill="1" applyBorder="1" applyAlignment="1">
      <alignment vertical="center"/>
    </xf>
    <xf numFmtId="181" fontId="75" fillId="8" borderId="3" xfId="0" applyNumberFormat="1" applyFont="1" applyFill="1" applyBorder="1" applyAlignment="1">
      <alignment vertical="center"/>
    </xf>
    <xf numFmtId="186" fontId="67" fillId="8" borderId="3" xfId="0" applyNumberFormat="1" applyFont="1" applyFill="1" applyBorder="1" applyAlignment="1">
      <alignment vertical="center"/>
    </xf>
    <xf numFmtId="182" fontId="67" fillId="8" borderId="3" xfId="0" applyNumberFormat="1" applyFont="1" applyFill="1" applyBorder="1" applyAlignment="1">
      <alignment vertical="center"/>
    </xf>
    <xf numFmtId="188" fontId="67" fillId="8" borderId="3" xfId="0" applyNumberFormat="1" applyFont="1" applyFill="1" applyBorder="1" applyAlignment="1">
      <alignment vertical="center"/>
    </xf>
    <xf numFmtId="188" fontId="67" fillId="8" borderId="19" xfId="0" applyNumberFormat="1" applyFont="1" applyFill="1" applyBorder="1" applyAlignment="1">
      <alignment vertical="center"/>
    </xf>
    <xf numFmtId="186" fontId="47" fillId="0" borderId="0" xfId="0" applyNumberFormat="1" applyFont="1" applyAlignment="1">
      <alignment vertical="center"/>
    </xf>
    <xf numFmtId="0" fontId="67" fillId="8" borderId="16" xfId="0" applyFont="1" applyFill="1" applyBorder="1" applyAlignment="1">
      <alignment horizontal="left" vertical="center"/>
    </xf>
    <xf numFmtId="180" fontId="75" fillId="8" borderId="17" xfId="0" applyNumberFormat="1" applyFont="1" applyFill="1" applyBorder="1" applyAlignment="1">
      <alignment vertical="center"/>
    </xf>
    <xf numFmtId="181" fontId="75" fillId="8" borderId="17" xfId="0" applyNumberFormat="1" applyFont="1" applyFill="1" applyBorder="1" applyAlignment="1">
      <alignment vertical="center"/>
    </xf>
    <xf numFmtId="186" fontId="67" fillId="8" borderId="17" xfId="0" applyNumberFormat="1" applyFont="1" applyFill="1" applyBorder="1" applyAlignment="1">
      <alignment vertical="center"/>
    </xf>
    <xf numFmtId="182" fontId="67" fillId="8" borderId="17" xfId="0" applyNumberFormat="1" applyFont="1" applyFill="1" applyBorder="1" applyAlignment="1">
      <alignment vertical="center"/>
    </xf>
    <xf numFmtId="188" fontId="67" fillId="8" borderId="17" xfId="0" applyNumberFormat="1" applyFont="1" applyFill="1" applyBorder="1" applyAlignment="1">
      <alignment vertical="center"/>
    </xf>
    <xf numFmtId="188" fontId="67" fillId="8" borderId="20" xfId="0" applyNumberFormat="1" applyFont="1" applyFill="1" applyBorder="1" applyAlignment="1">
      <alignment vertical="center"/>
    </xf>
    <xf numFmtId="9" fontId="67" fillId="6" borderId="14" xfId="0" applyNumberFormat="1" applyFont="1" applyFill="1" applyBorder="1" applyAlignment="1">
      <alignment horizontal="left" vertical="center"/>
    </xf>
    <xf numFmtId="180" fontId="75" fillId="6" borderId="0" xfId="0" applyNumberFormat="1" applyFont="1" applyFill="1" applyAlignment="1">
      <alignment vertical="center"/>
    </xf>
    <xf numFmtId="181" fontId="75" fillId="6" borderId="0" xfId="0" applyNumberFormat="1" applyFont="1" applyFill="1" applyAlignment="1">
      <alignment vertical="center"/>
    </xf>
    <xf numFmtId="181" fontId="68" fillId="6" borderId="0" xfId="0" applyNumberFormat="1" applyFont="1" applyFill="1" applyAlignment="1">
      <alignment vertical="center"/>
    </xf>
    <xf numFmtId="9" fontId="68" fillId="6" borderId="0" xfId="2" applyFont="1" applyFill="1" applyBorder="1" applyAlignment="1">
      <alignment vertical="center"/>
    </xf>
    <xf numFmtId="188" fontId="68" fillId="6" borderId="0" xfId="0" applyNumberFormat="1" applyFont="1" applyFill="1" applyAlignment="1">
      <alignment vertical="center"/>
    </xf>
    <xf numFmtId="188" fontId="68" fillId="6" borderId="9" xfId="0" applyNumberFormat="1" applyFont="1" applyFill="1" applyBorder="1" applyAlignment="1">
      <alignment vertical="center"/>
    </xf>
    <xf numFmtId="0" fontId="67" fillId="6" borderId="16" xfId="0" applyFont="1" applyFill="1" applyBorder="1" applyAlignment="1">
      <alignment horizontal="left" vertical="center"/>
    </xf>
    <xf numFmtId="180" fontId="75" fillId="6" borderId="17" xfId="0" applyNumberFormat="1" applyFont="1" applyFill="1" applyBorder="1" applyAlignment="1">
      <alignment vertical="center"/>
    </xf>
    <xf numFmtId="181" fontId="75" fillId="6" borderId="17" xfId="0" applyNumberFormat="1" applyFont="1" applyFill="1" applyBorder="1" applyAlignment="1">
      <alignment vertical="center"/>
    </xf>
    <xf numFmtId="186" fontId="68" fillId="6" borderId="17" xfId="0" applyNumberFormat="1" applyFont="1" applyFill="1" applyBorder="1" applyAlignment="1">
      <alignment vertical="center"/>
    </xf>
    <xf numFmtId="171" fontId="68" fillId="6" borderId="17" xfId="2" applyNumberFormat="1" applyFont="1" applyFill="1" applyBorder="1" applyAlignment="1">
      <alignment vertical="center"/>
    </xf>
    <xf numFmtId="188" fontId="68" fillId="6" borderId="17" xfId="0" applyNumberFormat="1" applyFont="1" applyFill="1" applyBorder="1" applyAlignment="1">
      <alignment vertical="center"/>
    </xf>
    <xf numFmtId="188" fontId="68" fillId="6" borderId="20" xfId="0" applyNumberFormat="1" applyFont="1" applyFill="1" applyBorder="1" applyAlignment="1">
      <alignment vertical="center"/>
    </xf>
    <xf numFmtId="0" fontId="68" fillId="0" borderId="0" xfId="0" applyFont="1" applyAlignment="1">
      <alignment horizontal="left" vertical="center"/>
    </xf>
    <xf numFmtId="181" fontId="68" fillId="0" borderId="0" xfId="0" applyNumberFormat="1" applyFont="1" applyAlignment="1">
      <alignment vertical="center"/>
    </xf>
    <xf numFmtId="0" fontId="0" fillId="0" borderId="8" xfId="3" applyFont="1" applyBorder="1"/>
    <xf numFmtId="9" fontId="0" fillId="0" borderId="3" xfId="0" applyNumberFormat="1" applyBorder="1"/>
    <xf numFmtId="179" fontId="65" fillId="0" borderId="9" xfId="0" applyNumberFormat="1" applyFont="1" applyBorder="1"/>
    <xf numFmtId="0" fontId="72" fillId="15" borderId="12" xfId="0" applyFont="1" applyFill="1" applyBorder="1" applyAlignment="1">
      <alignment horizontal="centerContinuous" vertical="center"/>
    </xf>
    <xf numFmtId="0" fontId="72" fillId="15" borderId="3" xfId="0" applyFont="1" applyFill="1" applyBorder="1" applyAlignment="1">
      <alignment horizontal="centerContinuous" vertical="center"/>
    </xf>
    <xf numFmtId="0" fontId="72" fillId="15" borderId="19" xfId="0" applyFont="1" applyFill="1" applyBorder="1" applyAlignment="1">
      <alignment horizontal="centerContinuous" vertical="center"/>
    </xf>
    <xf numFmtId="0" fontId="73" fillId="15" borderId="14" xfId="0" applyFont="1" applyFill="1" applyBorder="1" applyAlignment="1">
      <alignment horizontal="centerContinuous" vertical="center"/>
    </xf>
    <xf numFmtId="0" fontId="73" fillId="15" borderId="0" xfId="0" applyFont="1" applyFill="1" applyAlignment="1">
      <alignment horizontal="centerContinuous" vertical="center"/>
    </xf>
    <xf numFmtId="0" fontId="73" fillId="15" borderId="9" xfId="0" applyFont="1" applyFill="1" applyBorder="1" applyAlignment="1">
      <alignment horizontal="centerContinuous" vertical="center"/>
    </xf>
    <xf numFmtId="0" fontId="72" fillId="15" borderId="14" xfId="0" applyFont="1" applyFill="1" applyBorder="1" applyAlignment="1">
      <alignment horizontal="centerContinuous" vertical="center"/>
    </xf>
    <xf numFmtId="0" fontId="72" fillId="15" borderId="0" xfId="0" applyFont="1" applyFill="1" applyAlignment="1">
      <alignment horizontal="centerContinuous" vertical="center"/>
    </xf>
    <xf numFmtId="0" fontId="72" fillId="15" borderId="0" xfId="0" applyFont="1" applyFill="1" applyAlignment="1">
      <alignment horizontal="center" vertical="center"/>
    </xf>
    <xf numFmtId="0" fontId="73" fillId="15" borderId="0" xfId="0" applyFont="1" applyFill="1" applyAlignment="1">
      <alignment horizontal="center" vertical="center"/>
    </xf>
    <xf numFmtId="0" fontId="74" fillId="15" borderId="14" xfId="0" applyFont="1" applyFill="1" applyBorder="1" applyAlignment="1">
      <alignment vertical="center"/>
    </xf>
    <xf numFmtId="0" fontId="2" fillId="10" borderId="12" xfId="0" applyFont="1" applyFill="1" applyBorder="1" applyAlignment="1">
      <alignment horizontal="centerContinuous"/>
    </xf>
    <xf numFmtId="0" fontId="2" fillId="10" borderId="3" xfId="0" applyFont="1" applyFill="1" applyBorder="1" applyAlignment="1">
      <alignment horizontal="centerContinuous"/>
    </xf>
    <xf numFmtId="0" fontId="2" fillId="10" borderId="19" xfId="0" applyFont="1" applyFill="1" applyBorder="1" applyAlignment="1">
      <alignment horizontal="centerContinuous"/>
    </xf>
    <xf numFmtId="0" fontId="25" fillId="6" borderId="0" xfId="6" applyFill="1" applyAlignment="1">
      <alignment wrapText="1"/>
    </xf>
    <xf numFmtId="3" fontId="76" fillId="11" borderId="10" xfId="22" applyNumberFormat="1" applyFont="1" applyFill="1" applyBorder="1" applyAlignment="1">
      <alignment horizontal="right" vertical="center"/>
    </xf>
    <xf numFmtId="0" fontId="28" fillId="15" borderId="0" xfId="0" applyFont="1" applyFill="1"/>
    <xf numFmtId="0" fontId="29" fillId="15" borderId="0" xfId="0" applyFont="1" applyFill="1"/>
    <xf numFmtId="0" fontId="28" fillId="15" borderId="0" xfId="0" applyFont="1" applyFill="1" applyAlignment="1">
      <alignment wrapText="1"/>
    </xf>
    <xf numFmtId="0" fontId="31" fillId="0" borderId="0" xfId="0" applyFont="1" applyAlignment="1">
      <alignment horizontal="right"/>
    </xf>
    <xf numFmtId="0" fontId="30" fillId="0" borderId="0" xfId="0" applyFont="1" applyAlignment="1">
      <alignment horizontal="left"/>
    </xf>
    <xf numFmtId="0" fontId="2" fillId="14" borderId="24" xfId="7" applyFont="1" applyFill="1" applyBorder="1" applyAlignment="1">
      <alignment horizontal="center"/>
    </xf>
    <xf numFmtId="0" fontId="0" fillId="0" borderId="20" xfId="0" applyBorder="1"/>
    <xf numFmtId="0" fontId="0" fillId="9" borderId="23" xfId="0" applyFill="1" applyBorder="1"/>
    <xf numFmtId="10" fontId="75" fillId="0" borderId="9" xfId="0" applyNumberFormat="1" applyFont="1" applyBorder="1"/>
    <xf numFmtId="10" fontId="47" fillId="0" borderId="0" xfId="0" applyNumberFormat="1" applyFont="1"/>
    <xf numFmtId="182" fontId="42" fillId="0" borderId="20" xfId="0" applyNumberFormat="1" applyFont="1" applyBorder="1"/>
    <xf numFmtId="180" fontId="42" fillId="0" borderId="9" xfId="0" applyNumberFormat="1" applyFont="1" applyBorder="1"/>
    <xf numFmtId="3" fontId="31" fillId="7" borderId="11" xfId="0" applyNumberFormat="1" applyFont="1" applyFill="1" applyBorder="1"/>
    <xf numFmtId="164" fontId="0" fillId="0" borderId="0" xfId="0" applyNumberFormat="1"/>
    <xf numFmtId="0" fontId="3" fillId="0" borderId="3" xfId="0" applyFont="1" applyBorder="1" applyAlignment="1">
      <alignment horizontal="left"/>
    </xf>
    <xf numFmtId="0" fontId="41" fillId="0" borderId="34" xfId="0" applyFont="1" applyBorder="1" applyAlignment="1">
      <alignment horizontal="left" indent="1"/>
    </xf>
    <xf numFmtId="0" fontId="0" fillId="0" borderId="34" xfId="0" applyBorder="1"/>
    <xf numFmtId="0" fontId="0" fillId="0" borderId="35" xfId="0" applyBorder="1"/>
    <xf numFmtId="178" fontId="3" fillId="0" borderId="34" xfId="0" applyNumberFormat="1" applyFont="1" applyBorder="1"/>
    <xf numFmtId="9" fontId="0" fillId="0" borderId="34" xfId="0" applyNumberFormat="1" applyBorder="1"/>
    <xf numFmtId="0" fontId="42" fillId="0" borderId="0" xfId="0" applyFont="1"/>
    <xf numFmtId="0" fontId="42" fillId="0" borderId="9" xfId="0" applyFont="1" applyBorder="1"/>
    <xf numFmtId="3" fontId="77" fillId="11" borderId="10" xfId="2" applyNumberFormat="1" applyFont="1" applyFill="1" applyBorder="1" applyAlignment="1">
      <alignment horizontal="right" vertical="center"/>
    </xf>
    <xf numFmtId="191" fontId="70" fillId="11" borderId="10" xfId="2" applyNumberFormat="1" applyFont="1" applyFill="1" applyBorder="1" applyAlignment="1">
      <alignment horizontal="right" vertical="center"/>
    </xf>
    <xf numFmtId="15" fontId="77" fillId="11" borderId="10" xfId="2" applyNumberFormat="1" applyFont="1" applyFill="1" applyBorder="1" applyAlignment="1">
      <alignment horizontal="right" vertical="center"/>
    </xf>
    <xf numFmtId="171" fontId="77" fillId="11" borderId="10" xfId="2" applyNumberFormat="1" applyFont="1" applyFill="1" applyBorder="1" applyAlignment="1">
      <alignment horizontal="right" vertical="center"/>
    </xf>
    <xf numFmtId="15" fontId="45" fillId="0" borderId="0" xfId="0" applyNumberFormat="1" applyFont="1"/>
    <xf numFmtId="191" fontId="70" fillId="0" borderId="0" xfId="2" applyNumberFormat="1" applyFont="1" applyAlignment="1">
      <alignment horizontal="right" vertical="center"/>
    </xf>
    <xf numFmtId="0" fontId="27" fillId="0" borderId="3" xfId="0" applyFont="1" applyBorder="1"/>
    <xf numFmtId="0" fontId="27" fillId="0" borderId="13" xfId="0" applyFont="1" applyBorder="1"/>
    <xf numFmtId="0" fontId="27" fillId="0" borderId="0" xfId="0" applyFont="1"/>
    <xf numFmtId="0" fontId="27" fillId="0" borderId="15" xfId="0" applyFont="1" applyBorder="1"/>
    <xf numFmtId="0" fontId="27" fillId="0" borderId="17" xfId="0" applyFont="1" applyBorder="1"/>
    <xf numFmtId="0" fontId="27" fillId="0" borderId="18" xfId="0" applyFont="1" applyBorder="1"/>
    <xf numFmtId="0" fontId="2" fillId="10" borderId="1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16" fillId="5" borderId="7" xfId="3" applyFont="1" applyFill="1" applyBorder="1" applyAlignment="1">
      <alignment horizontal="center"/>
    </xf>
    <xf numFmtId="0" fontId="16" fillId="5" borderId="5" xfId="3" applyFont="1" applyFill="1" applyBorder="1" applyAlignment="1">
      <alignment horizontal="center"/>
    </xf>
    <xf numFmtId="0" fontId="16" fillId="5" borderId="6" xfId="3" applyFont="1" applyFill="1" applyBorder="1" applyAlignment="1">
      <alignment horizontal="center"/>
    </xf>
  </cellXfs>
  <cellStyles count="35">
    <cellStyle name="AFE" xfId="9" xr:uid="{97149B3E-C322-4881-94AA-39636B030392}"/>
    <cellStyle name="Comma" xfId="1" builtinId="3"/>
    <cellStyle name="Comma 2" xfId="11" xr:uid="{616060E5-553D-4AE0-8E83-87564964F454}"/>
    <cellStyle name="Comma 3" xfId="12" xr:uid="{A680B72C-74BE-4129-B164-D6E070F89339}"/>
    <cellStyle name="Comma 4" xfId="13" xr:uid="{B7E62DFA-8140-4913-9BB2-6E6BA480BE60}"/>
    <cellStyle name="Comma 4 2" xfId="14" xr:uid="{7E034D8B-DE0A-4FEB-8BF3-FF9275430E06}"/>
    <cellStyle name="Comma 5" xfId="15" xr:uid="{4E4F6B3A-D208-4DEB-9A1B-0E788B545991}"/>
    <cellStyle name="Comma 6" xfId="16" xr:uid="{CC924257-D4F2-4AE6-ACEE-60A9476FCE81}"/>
    <cellStyle name="Currency 2" xfId="17" xr:uid="{54FBDF54-B1D5-41AE-B0B5-91709776248F}"/>
    <cellStyle name="Currency 4" xfId="18" xr:uid="{FA3263B1-9378-4932-A8AF-6FCF03DE1A0B}"/>
    <cellStyle name="HeaderCellStyle" xfId="19" xr:uid="{073FB969-1B6D-4B1B-A5CE-88B5AFC6ECB7}"/>
    <cellStyle name="Hyperlink" xfId="6" builtinId="8"/>
    <cellStyle name="Normal" xfId="0" builtinId="0"/>
    <cellStyle name="Normal 10" xfId="20" xr:uid="{AB2BBFD1-726E-480E-9586-9C2976E541CD}"/>
    <cellStyle name="Normal 17" xfId="4" xr:uid="{B12143A7-0CED-4263-BD08-7E1368077CCB}"/>
    <cellStyle name="Normal 18" xfId="5" xr:uid="{B40A7A9E-B754-491C-B3D9-6B287997C0D6}"/>
    <cellStyle name="Normal 2" xfId="3" xr:uid="{B78B6336-EF12-4533-9DFA-AE81B46AEB9D}"/>
    <cellStyle name="Normal 2 2" xfId="21" xr:uid="{9627D00B-20DE-4AED-AC9B-67CDE980A34B}"/>
    <cellStyle name="Normal 2 2 2" xfId="7" xr:uid="{59D7B82B-ED09-416A-8113-7C78083BBAA3}"/>
    <cellStyle name="Normal 2 3" xfId="22" xr:uid="{37CDE990-A492-4818-9ADD-95BA4495AF97}"/>
    <cellStyle name="Normal 3" xfId="23" xr:uid="{12E9150C-A7DD-450E-BE70-BE0CB7A2A622}"/>
    <cellStyle name="Normal 3 2 3" xfId="24" xr:uid="{52D942B1-5950-41A0-9827-645A1CB6B3EC}"/>
    <cellStyle name="Normal 3 2 3 2" xfId="25" xr:uid="{F220626C-316A-4D5F-BA75-BEAA7A9F43E7}"/>
    <cellStyle name="Normal 4" xfId="26" xr:uid="{70C51416-484E-4AF4-B02A-4ADE5DC3D844}"/>
    <cellStyle name="Normal 5" xfId="27" xr:uid="{4B365242-4F04-4CAF-A61B-E7A1A9607585}"/>
    <cellStyle name="Normal 5 2" xfId="28" xr:uid="{F3B6E520-8808-4F60-B34A-A521D8D39A60}"/>
    <cellStyle name="Normal 5 3" xfId="29" xr:uid="{3510E855-3D96-4EF9-A190-326E99AFDC3D}"/>
    <cellStyle name="Normal 5 4" xfId="30" xr:uid="{38C8132E-E7C9-41ED-8466-41E56C92ACD8}"/>
    <cellStyle name="Normal 6" xfId="31" xr:uid="{ABE1352E-27FE-43C2-A1BD-F2F15F0C25D8}"/>
    <cellStyle name="Normal 7" xfId="8" xr:uid="{9FC8484F-24A2-4505-A80C-FB9C27D95BD8}"/>
    <cellStyle name="Normal 8" xfId="32" xr:uid="{C3B9BD17-5F24-4180-A7D1-F7056458CF4C}"/>
    <cellStyle name="Normal_Ch01 Pics v2.2" xfId="10" xr:uid="{D21DA2E8-4B17-4AC7-8FEC-1ED46C0CAF5F}"/>
    <cellStyle name="Percent" xfId="2" builtinId="5"/>
    <cellStyle name="Percent 2" xfId="33" xr:uid="{ACF4AB10-E1B3-4B86-9697-4416A214E239}"/>
    <cellStyle name="Percent 3" xfId="34" xr:uid="{1005D528-A8AB-4A8D-B68E-40B0DF7B6B4B}"/>
  </cellStyles>
  <dxfs count="0"/>
  <tableStyles count="0" defaultTableStyle="TableStyleMedium2" defaultPivotStyle="PivotStyleLight16"/>
  <colors>
    <mruColors>
      <color rgb="FF0000FF"/>
      <color rgb="FF1824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82BC-E952-4F8E-A24D-D71B824CB27D}">
  <sheetPr>
    <tabColor rgb="FF182434"/>
  </sheetPr>
  <dimension ref="A1:L29"/>
  <sheetViews>
    <sheetView showGridLines="0" tabSelected="1" zoomScaleNormal="100" workbookViewId="0">
      <selection activeCell="C33" sqref="C33"/>
    </sheetView>
  </sheetViews>
  <sheetFormatPr baseColWidth="10" defaultColWidth="9.1640625" defaultRowHeight="16" x14ac:dyDescent="0.2"/>
  <cols>
    <col min="1" max="1" width="9.1640625" style="85"/>
    <col min="2" max="2" width="34.1640625" style="85" customWidth="1"/>
    <col min="3" max="3" width="16.5" style="85" customWidth="1"/>
    <col min="4" max="4" width="13.5" style="85" customWidth="1"/>
    <col min="5" max="5" width="9.1640625" style="85"/>
    <col min="6" max="6" width="55.6640625" style="85" customWidth="1"/>
    <col min="7" max="7" width="9.6640625" style="85" bestFit="1" customWidth="1"/>
    <col min="8" max="8" width="27.83203125" style="85" customWidth="1"/>
    <col min="9" max="9" width="12.5" style="85" bestFit="1" customWidth="1"/>
    <col min="10" max="10" width="10.6640625" style="85" bestFit="1" customWidth="1"/>
    <col min="11" max="11" width="13.6640625" style="85" bestFit="1" customWidth="1"/>
    <col min="12" max="16384" width="9.1640625" style="85"/>
  </cols>
  <sheetData>
    <row r="1" spans="1:12" x14ac:dyDescent="0.2">
      <c r="A1" s="72"/>
      <c r="B1" s="72"/>
      <c r="C1" s="72"/>
      <c r="D1" s="72"/>
      <c r="E1" s="72"/>
      <c r="F1" s="73"/>
      <c r="G1" s="72"/>
      <c r="H1" s="72"/>
      <c r="I1" s="72"/>
      <c r="J1" s="72"/>
      <c r="K1" s="72"/>
      <c r="L1" s="72"/>
    </row>
    <row r="2" spans="1:12" x14ac:dyDescent="0.2">
      <c r="A2" s="72"/>
      <c r="B2" s="72"/>
      <c r="C2" s="72"/>
      <c r="D2" s="72"/>
      <c r="E2" s="72"/>
      <c r="F2" s="73"/>
      <c r="G2" s="72"/>
      <c r="H2" s="72"/>
      <c r="I2" s="72"/>
      <c r="J2" s="72"/>
      <c r="K2" s="72"/>
      <c r="L2" s="72"/>
    </row>
    <row r="3" spans="1:12" x14ac:dyDescent="0.2">
      <c r="A3" s="72"/>
      <c r="B3" s="72"/>
      <c r="C3" s="72"/>
      <c r="D3" s="72"/>
      <c r="E3" s="72"/>
      <c r="F3" s="73"/>
      <c r="G3" s="72"/>
      <c r="H3" s="72"/>
      <c r="I3" s="72"/>
      <c r="J3" s="72"/>
      <c r="K3" s="72"/>
      <c r="L3" s="72"/>
    </row>
    <row r="4" spans="1:12" x14ac:dyDescent="0.2">
      <c r="A4" s="72"/>
      <c r="B4"/>
      <c r="C4" s="72"/>
      <c r="D4" s="72"/>
      <c r="E4" s="72"/>
      <c r="F4" s="73"/>
      <c r="G4" s="72"/>
      <c r="H4" s="72"/>
      <c r="I4" s="72"/>
      <c r="J4" s="72"/>
      <c r="K4" s="72"/>
      <c r="L4" s="72"/>
    </row>
    <row r="5" spans="1:12" x14ac:dyDescent="0.2">
      <c r="A5" s="72"/>
      <c r="B5" s="72"/>
      <c r="C5" s="72"/>
      <c r="D5" s="72"/>
      <c r="E5" s="72"/>
      <c r="F5" s="73"/>
      <c r="G5" s="72"/>
      <c r="H5" s="72"/>
      <c r="I5" s="72"/>
      <c r="J5" s="72"/>
      <c r="K5" s="72"/>
      <c r="L5" s="72"/>
    </row>
    <row r="6" spans="1:12" x14ac:dyDescent="0.2">
      <c r="A6" s="72"/>
      <c r="B6" s="72"/>
      <c r="C6" s="72"/>
      <c r="D6" s="72"/>
      <c r="E6" s="72"/>
      <c r="F6" s="73"/>
      <c r="G6" s="72"/>
      <c r="H6" s="72"/>
      <c r="I6" s="72"/>
      <c r="J6" s="72"/>
      <c r="K6" s="72"/>
      <c r="L6" s="72"/>
    </row>
    <row r="7" spans="1:12" ht="17" x14ac:dyDescent="0.2">
      <c r="A7" s="72"/>
      <c r="B7" s="353" t="s">
        <v>0</v>
      </c>
      <c r="C7" s="354" t="s">
        <v>1</v>
      </c>
      <c r="D7" s="354" t="s">
        <v>1</v>
      </c>
      <c r="E7" s="72"/>
      <c r="F7" s="355" t="s">
        <v>2</v>
      </c>
      <c r="G7" s="355"/>
      <c r="H7" s="355"/>
      <c r="I7" s="72"/>
      <c r="J7" s="72"/>
      <c r="K7" s="72"/>
      <c r="L7" s="72"/>
    </row>
    <row r="8" spans="1:12" x14ac:dyDescent="0.2">
      <c r="A8" s="72"/>
      <c r="B8" s="72"/>
      <c r="C8" s="72"/>
      <c r="D8" s="72"/>
      <c r="E8" s="72"/>
      <c r="F8" s="73"/>
      <c r="G8" s="72"/>
      <c r="H8" s="72"/>
      <c r="I8" s="72"/>
      <c r="J8" s="72"/>
      <c r="K8" s="72"/>
      <c r="L8" s="72"/>
    </row>
    <row r="9" spans="1:12" x14ac:dyDescent="0.2">
      <c r="A9" s="72"/>
      <c r="B9" s="72" t="s">
        <v>3</v>
      </c>
      <c r="C9" s="357" t="s">
        <v>4</v>
      </c>
      <c r="D9" s="72"/>
      <c r="E9" s="72"/>
      <c r="F9" s="351" t="s">
        <v>238</v>
      </c>
      <c r="G9" s="72"/>
      <c r="H9" s="72"/>
      <c r="I9" s="72"/>
      <c r="J9" s="74"/>
      <c r="K9" s="72"/>
      <c r="L9" s="72"/>
    </row>
    <row r="10" spans="1:12" x14ac:dyDescent="0.2">
      <c r="A10" s="72"/>
      <c r="B10" s="72" t="s">
        <v>5</v>
      </c>
      <c r="C10" s="357" t="s">
        <v>230</v>
      </c>
      <c r="D10" s="72"/>
      <c r="E10" s="72"/>
      <c r="F10" s="351" t="s">
        <v>237</v>
      </c>
      <c r="G10" s="72"/>
      <c r="H10" s="72"/>
      <c r="I10" s="72"/>
      <c r="J10" s="74"/>
      <c r="K10" s="72"/>
      <c r="L10" s="72"/>
    </row>
    <row r="11" spans="1:12" x14ac:dyDescent="0.2">
      <c r="A11" s="72"/>
      <c r="B11" s="72"/>
      <c r="C11" s="75"/>
      <c r="D11" s="72"/>
      <c r="E11" s="72"/>
      <c r="F11" s="351" t="s">
        <v>236</v>
      </c>
      <c r="G11" s="72"/>
      <c r="H11" s="72"/>
      <c r="I11" s="72"/>
      <c r="J11" s="74"/>
      <c r="K11" s="72"/>
      <c r="L11" s="72"/>
    </row>
    <row r="12" spans="1:12" x14ac:dyDescent="0.2">
      <c r="A12" s="72"/>
      <c r="B12" s="72" t="s">
        <v>6</v>
      </c>
      <c r="C12" s="352">
        <v>1</v>
      </c>
      <c r="D12" s="72"/>
      <c r="E12" s="72"/>
      <c r="F12" s="351" t="s">
        <v>235</v>
      </c>
      <c r="G12" s="72"/>
      <c r="H12" s="72"/>
      <c r="I12" s="72"/>
      <c r="J12" s="74"/>
      <c r="K12" s="72"/>
      <c r="L12" s="72"/>
    </row>
    <row r="13" spans="1:12" x14ac:dyDescent="0.2">
      <c r="A13" s="72"/>
      <c r="B13" s="72"/>
      <c r="C13" s="75"/>
      <c r="D13" s="72"/>
      <c r="E13" s="72"/>
      <c r="F13" s="351" t="s">
        <v>84</v>
      </c>
      <c r="G13" s="72"/>
      <c r="H13" s="72"/>
      <c r="I13" s="72"/>
      <c r="J13" s="74"/>
      <c r="K13" s="72"/>
      <c r="L13" s="72"/>
    </row>
    <row r="14" spans="1:12" x14ac:dyDescent="0.2">
      <c r="A14" s="72"/>
      <c r="B14" s="72" t="s">
        <v>228</v>
      </c>
      <c r="C14" s="365">
        <f>CHOOSE($C$12,'DCF Model - Base (1)'!Q111,'DCF Model - Bull (2)'!Q111,'DCF Model - Bear (3)'!Q111)</f>
        <v>19042.672704927412</v>
      </c>
      <c r="D14" s="72"/>
      <c r="E14" s="72"/>
      <c r="F14" s="351" t="s">
        <v>224</v>
      </c>
      <c r="G14" s="72"/>
      <c r="H14" s="72"/>
      <c r="I14" s="72"/>
      <c r="J14" s="74"/>
      <c r="K14" s="72"/>
      <c r="L14" s="72"/>
    </row>
    <row r="15" spans="1:12" ht="15.75" customHeight="1" x14ac:dyDescent="0.2">
      <c r="A15" s="72"/>
      <c r="B15" s="72" t="s">
        <v>229</v>
      </c>
      <c r="C15" s="365">
        <f>CHOOSE($C$12,'DCF Model - Base (1)'!Q98,'DCF Model - Bull (2)'!Q98,'DCF Model - Bear (3)'!Q98)</f>
        <v>25149.739142688479</v>
      </c>
      <c r="D15" s="72"/>
      <c r="E15" s="72"/>
      <c r="F15" s="351" t="s">
        <v>225</v>
      </c>
      <c r="G15" s="72"/>
      <c r="H15" s="72"/>
      <c r="I15" s="72"/>
      <c r="J15" s="74"/>
      <c r="K15" s="72"/>
      <c r="L15" s="72"/>
    </row>
    <row r="16" spans="1:12" x14ac:dyDescent="0.2">
      <c r="A16" s="72"/>
      <c r="B16" s="72"/>
      <c r="C16" s="356"/>
      <c r="D16" s="72"/>
      <c r="E16" s="72"/>
      <c r="F16" s="351" t="s">
        <v>226</v>
      </c>
      <c r="G16" s="72"/>
      <c r="H16" s="72"/>
      <c r="I16" s="72"/>
      <c r="J16" s="74"/>
      <c r="K16" s="72"/>
      <c r="L16" s="72"/>
    </row>
    <row r="17" spans="1:12" x14ac:dyDescent="0.2">
      <c r="A17" s="72"/>
      <c r="B17" s="72" t="s">
        <v>231</v>
      </c>
      <c r="C17" s="76">
        <f>CHOOSE($C$12,'DCF Model - Base (1)'!Q113,'DCF Model - Bull (2)'!Q113,'DCF Model - Bear (3)'!Q113)</f>
        <v>0.81358787665975352</v>
      </c>
      <c r="D17" s="72"/>
      <c r="E17" s="72"/>
      <c r="F17" s="351" t="s">
        <v>227</v>
      </c>
      <c r="G17" s="72"/>
      <c r="H17" s="72"/>
      <c r="I17" s="72"/>
      <c r="J17" s="72"/>
      <c r="K17" s="72"/>
      <c r="L17" s="72"/>
    </row>
    <row r="18" spans="1:12" x14ac:dyDescent="0.2">
      <c r="A18" s="72"/>
      <c r="B18" s="72" t="s">
        <v>232</v>
      </c>
      <c r="C18" s="76">
        <f>CHOOSE($C$12,'DCF Model - Base (1)'!Q100,'DCF Model - Bull (2)'!Q100,'DCF Model - Bear (3)'!Q100)</f>
        <v>1.3952132516846172</v>
      </c>
      <c r="D18" s="72"/>
      <c r="E18" s="72"/>
      <c r="F18" s="86"/>
      <c r="G18" s="72"/>
      <c r="H18" s="72"/>
      <c r="I18" s="72"/>
      <c r="J18" s="72"/>
      <c r="K18" s="72"/>
      <c r="L18" s="72"/>
    </row>
    <row r="19" spans="1:12" x14ac:dyDescent="0.2">
      <c r="A19" s="72"/>
      <c r="B19" s="72"/>
      <c r="D19" s="72"/>
      <c r="E19" s="72"/>
      <c r="F19" s="86"/>
      <c r="G19" s="72"/>
      <c r="H19" s="72"/>
      <c r="I19" s="72"/>
      <c r="J19" s="72"/>
      <c r="K19" s="72"/>
      <c r="L19" s="72"/>
    </row>
    <row r="20" spans="1:12" x14ac:dyDescent="0.2">
      <c r="A20" s="72"/>
      <c r="B20" s="72" t="s">
        <v>9</v>
      </c>
      <c r="C20" s="77">
        <v>45855</v>
      </c>
      <c r="D20" s="72"/>
      <c r="E20" s="72"/>
      <c r="F20" s="73"/>
      <c r="G20" s="72"/>
      <c r="H20" s="72"/>
      <c r="I20" s="72"/>
      <c r="J20" s="72"/>
      <c r="K20" s="72"/>
      <c r="L20" s="72"/>
    </row>
    <row r="21" spans="1:12" x14ac:dyDescent="0.2">
      <c r="A21" s="72"/>
      <c r="B21" s="72"/>
      <c r="C21" s="72"/>
      <c r="D21" s="72"/>
      <c r="E21" s="72"/>
      <c r="F21" s="73"/>
      <c r="G21" s="72"/>
      <c r="H21" s="72"/>
      <c r="I21" s="72"/>
      <c r="J21" s="72"/>
      <c r="K21" s="72"/>
      <c r="L21" s="72"/>
    </row>
    <row r="22" spans="1:12" ht="17" x14ac:dyDescent="0.2">
      <c r="A22" s="72"/>
      <c r="B22" s="353" t="s">
        <v>10</v>
      </c>
      <c r="C22" s="354" t="s">
        <v>1</v>
      </c>
      <c r="D22" s="354" t="s">
        <v>1</v>
      </c>
      <c r="E22" s="72"/>
      <c r="F22" s="355" t="s">
        <v>11</v>
      </c>
      <c r="G22" s="354" t="s">
        <v>1</v>
      </c>
      <c r="H22" s="354" t="s">
        <v>1</v>
      </c>
      <c r="I22" s="72"/>
      <c r="J22" s="72"/>
      <c r="K22" s="72"/>
      <c r="L22" s="72"/>
    </row>
    <row r="23" spans="1:12" x14ac:dyDescent="0.2">
      <c r="A23" s="72"/>
      <c r="B23" s="72"/>
      <c r="C23" s="72"/>
      <c r="D23" s="72"/>
      <c r="E23" s="72"/>
      <c r="F23" s="73"/>
      <c r="G23" s="72"/>
      <c r="H23" s="72"/>
      <c r="I23" s="72"/>
      <c r="J23" s="72"/>
      <c r="K23" s="72"/>
      <c r="L23" s="72"/>
    </row>
    <row r="24" spans="1:12" ht="15" customHeight="1" x14ac:dyDescent="0.2">
      <c r="A24" s="72"/>
      <c r="B24" s="72" t="s">
        <v>12</v>
      </c>
      <c r="C24" s="78"/>
      <c r="D24" s="78"/>
      <c r="E24" s="72"/>
      <c r="F24" s="79" t="s">
        <v>13</v>
      </c>
      <c r="G24" s="381" t="s">
        <v>14</v>
      </c>
      <c r="H24" s="382"/>
      <c r="I24" s="72"/>
      <c r="J24" s="72"/>
      <c r="K24" s="72"/>
      <c r="L24" s="72"/>
    </row>
    <row r="25" spans="1:12" ht="15" customHeight="1" x14ac:dyDescent="0.2">
      <c r="A25" s="72"/>
      <c r="B25" s="72" t="s">
        <v>15</v>
      </c>
      <c r="C25" s="87"/>
      <c r="D25" s="83"/>
      <c r="E25" s="72"/>
      <c r="F25" s="84" t="s">
        <v>13</v>
      </c>
      <c r="G25" s="383" t="s">
        <v>16</v>
      </c>
      <c r="H25" s="384"/>
      <c r="I25" s="72"/>
      <c r="J25" s="72"/>
      <c r="K25" s="72"/>
      <c r="L25" s="72"/>
    </row>
    <row r="26" spans="1:12" ht="15" customHeight="1" x14ac:dyDescent="0.2">
      <c r="A26" s="72"/>
      <c r="B26" s="72" t="s">
        <v>17</v>
      </c>
      <c r="C26" s="72"/>
      <c r="D26" s="72"/>
      <c r="E26" s="72"/>
      <c r="F26" s="80" t="s">
        <v>13</v>
      </c>
      <c r="G26" s="383" t="s">
        <v>18</v>
      </c>
      <c r="H26" s="384"/>
      <c r="I26" s="72"/>
      <c r="J26" s="72"/>
      <c r="K26" s="72"/>
      <c r="L26" s="72"/>
    </row>
    <row r="27" spans="1:12" ht="15" customHeight="1" x14ac:dyDescent="0.2">
      <c r="A27" s="72"/>
      <c r="B27" s="72"/>
      <c r="C27" s="72"/>
      <c r="D27" s="72"/>
      <c r="E27" s="72"/>
      <c r="F27" s="81" t="s">
        <v>13</v>
      </c>
      <c r="G27" s="383" t="s">
        <v>19</v>
      </c>
      <c r="H27" s="384"/>
      <c r="I27" s="72"/>
      <c r="J27" s="72"/>
      <c r="K27" s="72"/>
      <c r="L27" s="72"/>
    </row>
    <row r="28" spans="1:12" ht="15" customHeight="1" x14ac:dyDescent="0.2">
      <c r="A28" s="72"/>
      <c r="B28" s="72"/>
      <c r="C28" s="72"/>
      <c r="D28" s="72"/>
      <c r="E28" s="72"/>
      <c r="F28" s="82" t="s">
        <v>13</v>
      </c>
      <c r="G28" s="385" t="s">
        <v>20</v>
      </c>
      <c r="H28" s="386"/>
      <c r="I28" s="72"/>
      <c r="J28" s="72"/>
      <c r="K28" s="72"/>
      <c r="L28" s="72"/>
    </row>
    <row r="29" spans="1:12" x14ac:dyDescent="0.2">
      <c r="A29" s="72"/>
      <c r="B29" s="72"/>
      <c r="C29" s="72"/>
      <c r="D29" s="72"/>
      <c r="E29" s="72"/>
      <c r="F29" s="73"/>
      <c r="G29" s="72"/>
      <c r="H29" s="72"/>
      <c r="I29" s="72"/>
      <c r="J29" s="72"/>
      <c r="K29" s="72"/>
      <c r="L29" s="72"/>
    </row>
  </sheetData>
  <mergeCells count="5">
    <mergeCell ref="G24:H24"/>
    <mergeCell ref="G25:H25"/>
    <mergeCell ref="G26:H26"/>
    <mergeCell ref="G27:H27"/>
    <mergeCell ref="G28:H28"/>
  </mergeCells>
  <dataValidations count="1">
    <dataValidation type="list" allowBlank="1" showInputMessage="1" showErrorMessage="1" sqref="C12" xr:uid="{5D16AAD0-0DE3-4801-A4E1-8AA0A0CBC92B}">
      <formula1>"1, 2, 3"</formula1>
    </dataValidation>
  </dataValidations>
  <hyperlinks>
    <hyperlink ref="F9" location="'Ouputs - Base'!A1" display="Outputs" xr:uid="{45E50120-1B53-43EF-BF33-F9494A57E147}"/>
    <hyperlink ref="F10" location="'DCF Model - Base (1)'!A1" display="DCF Model - Base (1)" xr:uid="{B0077DA4-5347-444D-90FD-B10AC71CD757}"/>
    <hyperlink ref="F13" location="WACC!A1" display="WACC" xr:uid="{FC6839FB-0B55-4972-983F-593A23F206FB}"/>
    <hyperlink ref="F14" location="Comps!A1" display="Comps " xr:uid="{F92465B4-29D3-41A9-9340-57D6093BCE0F}"/>
    <hyperlink ref="F15" location="'Assumption Breakdown'!A1" display="Assumption Breakdown" xr:uid="{5C003AC7-BDDF-4DAC-BDCF-5E09E4C24043}"/>
    <hyperlink ref="F16" location="'Data Given (Recalculated)'!A1" display="Data Given (Recalcuated)" xr:uid="{826A1B4D-0FB8-4758-8EB9-54E653A12610}"/>
    <hyperlink ref="F17" location="'Original &amp; Adjusted Data'!A1" display="Data Given (Original)" xr:uid="{A286F74B-5A8B-415B-B34B-396332D46BD4}"/>
    <hyperlink ref="F11" location="'DCF Model - Bull (2)'!A1" display="DCF Model - Bull (2)" xr:uid="{E983898B-F511-4538-8AAC-334272434B40}"/>
    <hyperlink ref="F12" location="'DCF Model - Bear (3)'!A1" display="DCF Model - Bear (3)" xr:uid="{EAAFE6BB-0952-4CAD-A6F3-B7807C11EE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19E8-99AA-4BF4-B3DB-13DBBFC130F0}">
  <sheetPr>
    <tabColor theme="9"/>
  </sheetPr>
  <dimension ref="A2:Q59"/>
  <sheetViews>
    <sheetView showGridLines="0" zoomScale="115" zoomScaleNormal="115" workbookViewId="0">
      <selection activeCell="C18" sqref="C18"/>
    </sheetView>
  </sheetViews>
  <sheetFormatPr baseColWidth="10" defaultColWidth="15.6640625" defaultRowHeight="15" x14ac:dyDescent="0.2"/>
  <cols>
    <col min="1" max="1" width="5.6640625" style="70" customWidth="1"/>
  </cols>
  <sheetData>
    <row r="2" spans="1:17" ht="19" x14ac:dyDescent="0.25">
      <c r="B2" s="65" t="s">
        <v>116</v>
      </c>
      <c r="C2" s="66"/>
      <c r="D2" s="67"/>
      <c r="E2" s="67"/>
      <c r="F2" s="67"/>
      <c r="G2" s="67"/>
      <c r="H2" s="67"/>
      <c r="I2" s="67"/>
    </row>
    <row r="3" spans="1:17" ht="16" thickBot="1" x14ac:dyDescent="0.25">
      <c r="B3" s="194" t="s">
        <v>68</v>
      </c>
      <c r="C3" s="68"/>
      <c r="D3" s="68"/>
      <c r="E3" s="68"/>
      <c r="F3" s="68"/>
      <c r="G3" s="68"/>
      <c r="H3" s="68"/>
      <c r="I3" s="334"/>
      <c r="J3" s="334"/>
      <c r="K3" s="334"/>
      <c r="L3" s="334"/>
      <c r="M3" s="334"/>
      <c r="N3" s="334"/>
      <c r="O3" s="334"/>
      <c r="P3" s="334"/>
      <c r="Q3" s="334"/>
    </row>
    <row r="4" spans="1:17" ht="16" thickTop="1" x14ac:dyDescent="0.2">
      <c r="B4" s="19" t="s">
        <v>69</v>
      </c>
      <c r="C4" s="67"/>
      <c r="D4" s="67"/>
      <c r="E4" s="67"/>
      <c r="F4" s="67"/>
      <c r="G4" s="67"/>
      <c r="H4" s="67"/>
      <c r="I4" s="67"/>
    </row>
    <row r="5" spans="1:17" x14ac:dyDescent="0.2">
      <c r="B5" s="69"/>
      <c r="C5" s="67"/>
      <c r="D5" s="67"/>
      <c r="E5" s="67"/>
      <c r="F5" s="67"/>
      <c r="G5" s="67"/>
      <c r="H5" s="67"/>
      <c r="I5" s="67"/>
    </row>
    <row r="6" spans="1:17" x14ac:dyDescent="0.2">
      <c r="A6" s="70" t="s">
        <v>66</v>
      </c>
      <c r="B6" s="165" t="s">
        <v>117</v>
      </c>
      <c r="C6" s="166"/>
      <c r="D6" s="166"/>
      <c r="E6" s="166"/>
      <c r="F6" s="166"/>
      <c r="G6" s="166"/>
      <c r="H6" s="167">
        <v>2021</v>
      </c>
      <c r="I6" s="168">
        <f>H6+1</f>
        <v>2022</v>
      </c>
      <c r="J6" s="169">
        <f t="shared" ref="J6:Q6" si="0">I6+1</f>
        <v>2023</v>
      </c>
      <c r="K6" s="169">
        <f t="shared" si="0"/>
        <v>2024</v>
      </c>
      <c r="L6" s="169">
        <f t="shared" si="0"/>
        <v>2025</v>
      </c>
      <c r="M6" s="169">
        <f t="shared" si="0"/>
        <v>2026</v>
      </c>
      <c r="N6" s="169">
        <f t="shared" si="0"/>
        <v>2027</v>
      </c>
      <c r="O6" s="169">
        <f t="shared" si="0"/>
        <v>2028</v>
      </c>
      <c r="P6" s="169">
        <f t="shared" si="0"/>
        <v>2029</v>
      </c>
      <c r="Q6" s="170">
        <f t="shared" si="0"/>
        <v>2030</v>
      </c>
    </row>
    <row r="7" spans="1:17" x14ac:dyDescent="0.2">
      <c r="B7" s="134"/>
      <c r="I7" s="71"/>
      <c r="Q7" s="71"/>
    </row>
    <row r="8" spans="1:17" x14ac:dyDescent="0.2">
      <c r="B8" s="134" t="s">
        <v>63</v>
      </c>
      <c r="H8" s="99"/>
      <c r="I8" s="102"/>
      <c r="J8" s="103">
        <f>'DCF Model - Base (1)'!J51</f>
        <v>3316.5682299999989</v>
      </c>
      <c r="K8" s="103">
        <f>'DCF Model - Base (1)'!K51</f>
        <v>4462.5018868000052</v>
      </c>
      <c r="L8" s="103">
        <f>'DCF Model - Base (1)'!L51</f>
        <v>5376.1724233359973</v>
      </c>
      <c r="M8" s="103">
        <f>'DCF Model - Base (1)'!M51</f>
        <v>5490.418378084717</v>
      </c>
      <c r="N8" s="103">
        <f>'DCF Model - Base (1)'!N51</f>
        <v>5608.291889522643</v>
      </c>
      <c r="O8" s="103">
        <f>'DCF Model - Base (1)'!O51</f>
        <v>5727.8461483474675</v>
      </c>
      <c r="P8" s="103">
        <f>'DCF Model - Base (1)'!P51</f>
        <v>5850.1354186643093</v>
      </c>
      <c r="Q8" s="104">
        <f>'DCF Model - Base (1)'!Q51</f>
        <v>5975.2150595977346</v>
      </c>
    </row>
    <row r="9" spans="1:17" x14ac:dyDescent="0.2">
      <c r="B9" s="159" t="s">
        <v>118</v>
      </c>
      <c r="H9" s="99"/>
      <c r="I9" s="102"/>
      <c r="J9" s="103">
        <f>'DCF Model - Base (1)'!J68</f>
        <v>638.82379196999989</v>
      </c>
      <c r="K9" s="103">
        <f>'DCF Model - Base (1)'!K68</f>
        <v>670.48670949000007</v>
      </c>
      <c r="L9" s="103">
        <f>'DCF Model - Base (1)'!L68</f>
        <v>715.72044367979993</v>
      </c>
      <c r="M9" s="103">
        <f>'DCF Model - Base (1)'!M68</f>
        <v>730.03485255339604</v>
      </c>
      <c r="N9" s="103">
        <f>'DCF Model - Base (1)'!N68</f>
        <v>744.63554960446402</v>
      </c>
      <c r="O9" s="103">
        <f>'DCF Model - Base (1)'!O68</f>
        <v>759.5282605965532</v>
      </c>
      <c r="P9" s="103">
        <f>'DCF Model - Base (1)'!P68</f>
        <v>774.71882580848421</v>
      </c>
      <c r="Q9" s="104">
        <f>'DCF Model - Base (1)'!Q68</f>
        <v>790.21320232465405</v>
      </c>
    </row>
    <row r="10" spans="1:17" x14ac:dyDescent="0.2">
      <c r="B10" s="171" t="s">
        <v>94</v>
      </c>
      <c r="C10" s="155"/>
      <c r="D10" s="155"/>
      <c r="E10" s="155"/>
      <c r="F10" s="155"/>
      <c r="G10" s="155"/>
      <c r="H10" s="155"/>
      <c r="I10" s="359"/>
      <c r="J10" s="103">
        <f>'DCF Model - Base (1)'!J54</f>
        <v>3955.392021969999</v>
      </c>
      <c r="K10" s="103">
        <f>'DCF Model - Base (1)'!K54</f>
        <v>5132.9885962900053</v>
      </c>
      <c r="L10" s="103">
        <f>'DCF Model - Base (1)'!L54</f>
        <v>6091.8928670157975</v>
      </c>
      <c r="M10" s="103">
        <f>'DCF Model - Base (1)'!M54</f>
        <v>6220.4532306381134</v>
      </c>
      <c r="N10" s="103">
        <f>'DCF Model - Base (1)'!N54</f>
        <v>6352.9274391271074</v>
      </c>
      <c r="O10" s="103">
        <f>'DCF Model - Base (1)'!O54</f>
        <v>6487.3744089440206</v>
      </c>
      <c r="P10" s="103">
        <f>'DCF Model - Base (1)'!P54</f>
        <v>6624.8542444727937</v>
      </c>
      <c r="Q10" s="186">
        <f>'DCF Model - Base (1)'!Q54</f>
        <v>6765.4282619223886</v>
      </c>
    </row>
    <row r="11" spans="1:17" x14ac:dyDescent="0.2">
      <c r="B11" s="134"/>
      <c r="I11" s="71"/>
      <c r="J11" s="88"/>
      <c r="K11" s="88"/>
      <c r="L11" s="88"/>
      <c r="M11" s="88"/>
      <c r="N11" s="88"/>
      <c r="O11" s="88"/>
      <c r="P11" s="88"/>
      <c r="Q11" s="127"/>
    </row>
    <row r="12" spans="1:17" x14ac:dyDescent="0.2">
      <c r="B12" s="158" t="s">
        <v>97</v>
      </c>
      <c r="H12" s="103"/>
      <c r="I12" s="104"/>
      <c r="J12" s="103">
        <f>'DCF Model - Base (1)'!J60</f>
        <v>2437.6776490499992</v>
      </c>
      <c r="K12" s="103">
        <f>'DCF Model - Base (1)'!K60</f>
        <v>3279.9388867980038</v>
      </c>
      <c r="L12" s="103">
        <f>'DCF Model - Base (1)'!L60</f>
        <v>3951.4867311519579</v>
      </c>
      <c r="M12" s="103">
        <f>'DCF Model - Base (1)'!M60</f>
        <v>4035.4575078922671</v>
      </c>
      <c r="N12" s="103">
        <f>'DCF Model - Base (1)'!N60</f>
        <v>4122.0945387991424</v>
      </c>
      <c r="O12" s="103">
        <f>'DCF Model - Base (1)'!O60</f>
        <v>4209.9669190353889</v>
      </c>
      <c r="P12" s="103">
        <f>'DCF Model - Base (1)'!P60</f>
        <v>4299.8495327182673</v>
      </c>
      <c r="Q12" s="104">
        <f>'DCF Model - Base (1)'!Q60</f>
        <v>4391.783068804335</v>
      </c>
    </row>
    <row r="13" spans="1:17" x14ac:dyDescent="0.2">
      <c r="B13" s="159" t="s">
        <v>105</v>
      </c>
      <c r="H13" s="99"/>
      <c r="I13" s="102"/>
      <c r="J13" s="103">
        <f t="shared" ref="J13:Q13" si="1">J9</f>
        <v>638.82379196999989</v>
      </c>
      <c r="K13" s="103">
        <f t="shared" si="1"/>
        <v>670.48670949000007</v>
      </c>
      <c r="L13" s="103">
        <f t="shared" si="1"/>
        <v>715.72044367979993</v>
      </c>
      <c r="M13" s="103">
        <f t="shared" si="1"/>
        <v>730.03485255339604</v>
      </c>
      <c r="N13" s="103">
        <f t="shared" si="1"/>
        <v>744.63554960446402</v>
      </c>
      <c r="O13" s="103">
        <f t="shared" si="1"/>
        <v>759.5282605965532</v>
      </c>
      <c r="P13" s="103">
        <f t="shared" si="1"/>
        <v>774.71882580848421</v>
      </c>
      <c r="Q13" s="104">
        <f t="shared" si="1"/>
        <v>790.21320232465405</v>
      </c>
    </row>
    <row r="14" spans="1:17" x14ac:dyDescent="0.2">
      <c r="B14" s="159" t="s">
        <v>106</v>
      </c>
      <c r="H14" s="103"/>
      <c r="I14" s="104"/>
      <c r="J14" s="103">
        <f>-'DCF Model - Base (1)'!$F$9</f>
        <v>-1000</v>
      </c>
      <c r="K14" s="103">
        <f>-'DCF Model - Base (1)'!$F$9</f>
        <v>-1000</v>
      </c>
      <c r="L14" s="103">
        <f>-'DCF Model - Base (1)'!$F$9</f>
        <v>-1000</v>
      </c>
      <c r="M14" s="103">
        <f>-'DCF Model - Base (1)'!$F$9</f>
        <v>-1000</v>
      </c>
      <c r="N14" s="103">
        <f>-'DCF Model - Base (1)'!$F$9</f>
        <v>-1000</v>
      </c>
      <c r="O14" s="103">
        <f>-'DCF Model - Base (1)'!$F$9</f>
        <v>-1000</v>
      </c>
      <c r="P14" s="103">
        <f>-'DCF Model - Base (1)'!$F$9</f>
        <v>-1000</v>
      </c>
      <c r="Q14" s="104">
        <f>-'DCF Model - Base (1)'!$F$9</f>
        <v>-1000</v>
      </c>
    </row>
    <row r="15" spans="1:17" x14ac:dyDescent="0.2">
      <c r="B15" s="159" t="s">
        <v>107</v>
      </c>
      <c r="H15" s="103"/>
      <c r="I15" s="104"/>
      <c r="J15" s="103">
        <f>-'DCF Model - Base (1)'!$F$10</f>
        <v>-100</v>
      </c>
      <c r="K15" s="103">
        <f>-'DCF Model - Base (1)'!$F$10</f>
        <v>-100</v>
      </c>
      <c r="L15" s="103">
        <f>-'DCF Model - Base (1)'!$F$10</f>
        <v>-100</v>
      </c>
      <c r="M15" s="103">
        <f>-'DCF Model - Base (1)'!$F$10</f>
        <v>-100</v>
      </c>
      <c r="N15" s="103">
        <f>-'DCF Model - Base (1)'!$F$10</f>
        <v>-100</v>
      </c>
      <c r="O15" s="103">
        <f>-'DCF Model - Base (1)'!$F$10</f>
        <v>-100</v>
      </c>
      <c r="P15" s="103">
        <f>-'DCF Model - Base (1)'!$F$10</f>
        <v>-100</v>
      </c>
      <c r="Q15" s="104">
        <f>-'DCF Model - Base (1)'!$F$10</f>
        <v>-100</v>
      </c>
    </row>
    <row r="16" spans="1:17" x14ac:dyDescent="0.2">
      <c r="B16" s="153" t="s">
        <v>108</v>
      </c>
      <c r="C16" s="88"/>
      <c r="D16" s="88"/>
      <c r="E16" s="88"/>
      <c r="F16" s="88"/>
      <c r="G16" s="88"/>
      <c r="H16" s="105">
        <f>H12+H13+H14+H15</f>
        <v>0</v>
      </c>
      <c r="I16" s="157">
        <f t="shared" ref="I16" si="2">I12+I13+I14+I15</f>
        <v>0</v>
      </c>
      <c r="J16" s="105">
        <f>SUM(J12:J15)</f>
        <v>1976.5014410199992</v>
      </c>
      <c r="K16" s="105">
        <f t="shared" ref="K16:Q16" si="3">SUM(K12:K15)</f>
        <v>2850.4255962880038</v>
      </c>
      <c r="L16" s="105">
        <f t="shared" si="3"/>
        <v>3567.2071748317576</v>
      </c>
      <c r="M16" s="105">
        <f t="shared" si="3"/>
        <v>3665.4923604456635</v>
      </c>
      <c r="N16" s="105">
        <f t="shared" si="3"/>
        <v>3766.7300884036067</v>
      </c>
      <c r="O16" s="105">
        <f t="shared" si="3"/>
        <v>3869.4951796319419</v>
      </c>
      <c r="P16" s="105">
        <f t="shared" si="3"/>
        <v>3974.5683585267516</v>
      </c>
      <c r="Q16" s="157">
        <f t="shared" si="3"/>
        <v>4081.9962711289891</v>
      </c>
    </row>
    <row r="17" spans="1:17" x14ac:dyDescent="0.2">
      <c r="B17" s="158"/>
      <c r="H17" s="107"/>
      <c r="I17" s="131"/>
      <c r="J17" s="107"/>
      <c r="K17" s="107"/>
      <c r="L17" s="107"/>
      <c r="M17" s="107"/>
      <c r="N17" s="107"/>
      <c r="O17" s="107"/>
      <c r="P17" s="107"/>
      <c r="Q17" s="131"/>
    </row>
    <row r="18" spans="1:17" x14ac:dyDescent="0.2">
      <c r="B18" s="159" t="s">
        <v>119</v>
      </c>
      <c r="E18" s="187">
        <f>'DCF Model - Base (1)'!I9</f>
        <v>44781</v>
      </c>
      <c r="H18" s="107"/>
      <c r="I18" s="131"/>
      <c r="J18" s="107"/>
      <c r="K18" s="107"/>
      <c r="L18" s="107"/>
      <c r="M18" s="107"/>
      <c r="N18" s="107"/>
      <c r="O18" s="107"/>
      <c r="P18" s="107"/>
      <c r="Q18" s="131"/>
    </row>
    <row r="19" spans="1:17" x14ac:dyDescent="0.2">
      <c r="B19" s="159" t="s">
        <v>110</v>
      </c>
      <c r="H19" s="108"/>
      <c r="I19" s="128"/>
      <c r="J19" s="108">
        <f>'DCF Model - Base (1)'!I11</f>
        <v>44926</v>
      </c>
      <c r="K19" s="108">
        <f t="shared" ref="K19:Q19" si="4">EOMONTH(J19,12)</f>
        <v>45291</v>
      </c>
      <c r="L19" s="108">
        <f t="shared" si="4"/>
        <v>45657</v>
      </c>
      <c r="M19" s="108">
        <f t="shared" si="4"/>
        <v>46022</v>
      </c>
      <c r="N19" s="108">
        <f t="shared" si="4"/>
        <v>46387</v>
      </c>
      <c r="O19" s="108">
        <f t="shared" si="4"/>
        <v>46752</v>
      </c>
      <c r="P19" s="108">
        <f t="shared" si="4"/>
        <v>47118</v>
      </c>
      <c r="Q19" s="128">
        <f t="shared" si="4"/>
        <v>47483</v>
      </c>
    </row>
    <row r="20" spans="1:17" x14ac:dyDescent="0.2">
      <c r="B20" s="159" t="s">
        <v>111</v>
      </c>
      <c r="I20" s="161"/>
      <c r="J20" s="106">
        <f>(J19-E18)/365</f>
        <v>0.39726027397260272</v>
      </c>
      <c r="K20" s="106">
        <f t="shared" ref="K20:Q20" si="5">J20+1</f>
        <v>1.3972602739726028</v>
      </c>
      <c r="L20" s="106">
        <f t="shared" si="5"/>
        <v>2.397260273972603</v>
      </c>
      <c r="M20" s="106">
        <f t="shared" si="5"/>
        <v>3.397260273972603</v>
      </c>
      <c r="N20" s="106">
        <f t="shared" si="5"/>
        <v>4.397260273972603</v>
      </c>
      <c r="O20" s="106">
        <f t="shared" si="5"/>
        <v>5.397260273972603</v>
      </c>
      <c r="P20" s="106">
        <f t="shared" si="5"/>
        <v>6.397260273972603</v>
      </c>
      <c r="Q20" s="161">
        <f t="shared" si="5"/>
        <v>7.397260273972603</v>
      </c>
    </row>
    <row r="21" spans="1:17" x14ac:dyDescent="0.2">
      <c r="B21" s="159" t="s">
        <v>112</v>
      </c>
      <c r="I21" s="161"/>
      <c r="J21" s="106">
        <f>J20/2</f>
        <v>0.19863013698630136</v>
      </c>
      <c r="K21" s="106">
        <f t="shared" ref="K21:Q21" si="6">K20-0.5</f>
        <v>0.89726027397260277</v>
      </c>
      <c r="L21" s="106">
        <f t="shared" si="6"/>
        <v>1.897260273972603</v>
      </c>
      <c r="M21" s="106">
        <f t="shared" si="6"/>
        <v>2.897260273972603</v>
      </c>
      <c r="N21" s="106">
        <f t="shared" si="6"/>
        <v>3.897260273972603</v>
      </c>
      <c r="O21" s="106">
        <f t="shared" si="6"/>
        <v>4.897260273972603</v>
      </c>
      <c r="P21" s="106">
        <f t="shared" si="6"/>
        <v>5.897260273972603</v>
      </c>
      <c r="Q21" s="161">
        <f t="shared" si="6"/>
        <v>6.897260273972603</v>
      </c>
    </row>
    <row r="22" spans="1:17" x14ac:dyDescent="0.2">
      <c r="B22" s="159" t="s">
        <v>8</v>
      </c>
      <c r="I22" s="161"/>
      <c r="J22" s="130">
        <f>WACC!$D$34</f>
        <v>0.20768485074759491</v>
      </c>
      <c r="K22" s="130">
        <f>WACC!$D$34</f>
        <v>0.20768485074759491</v>
      </c>
      <c r="L22" s="130">
        <f>WACC!$D$34</f>
        <v>0.20768485074759491</v>
      </c>
      <c r="M22" s="130">
        <f>WACC!$D$34</f>
        <v>0.20768485074759491</v>
      </c>
      <c r="N22" s="130">
        <f>WACC!$D$34</f>
        <v>0.20768485074759491</v>
      </c>
      <c r="O22" s="130">
        <f>WACC!$D$34</f>
        <v>0.20768485074759491</v>
      </c>
      <c r="P22" s="130">
        <f>WACC!$D$34</f>
        <v>0.20768485074759491</v>
      </c>
      <c r="Q22" s="188">
        <f>WACC!$D$34</f>
        <v>0.20768485074759491</v>
      </c>
    </row>
    <row r="23" spans="1:17" x14ac:dyDescent="0.2">
      <c r="A23" s="70" t="s">
        <v>66</v>
      </c>
      <c r="B23" s="162" t="s">
        <v>114</v>
      </c>
      <c r="C23" s="132"/>
      <c r="D23" s="132"/>
      <c r="E23" s="132"/>
      <c r="F23" s="132"/>
      <c r="G23" s="132"/>
      <c r="H23" s="132"/>
      <c r="I23" s="360"/>
      <c r="J23" s="163">
        <f t="shared" ref="J23:Q23" si="7">J16/(1+J22)^J21</f>
        <v>1903.7884024212906</v>
      </c>
      <c r="K23" s="163">
        <f t="shared" si="7"/>
        <v>2406.4452373355475</v>
      </c>
      <c r="L23" s="163">
        <f t="shared" si="7"/>
        <v>2493.6815272231024</v>
      </c>
      <c r="M23" s="163">
        <f t="shared" si="7"/>
        <v>2121.7360498807043</v>
      </c>
      <c r="N23" s="163">
        <f t="shared" si="7"/>
        <v>1805.385372436531</v>
      </c>
      <c r="O23" s="163">
        <f t="shared" si="7"/>
        <v>1535.699028983548</v>
      </c>
      <c r="P23" s="163">
        <f t="shared" si="7"/>
        <v>1306.1352548387281</v>
      </c>
      <c r="Q23" s="164">
        <f t="shared" si="7"/>
        <v>1110.7521595837798</v>
      </c>
    </row>
    <row r="26" spans="1:17" x14ac:dyDescent="0.2">
      <c r="B26" s="348" t="s">
        <v>120</v>
      </c>
      <c r="C26" s="349"/>
      <c r="D26" s="350"/>
      <c r="F26" s="348" t="s">
        <v>134</v>
      </c>
      <c r="G26" s="349"/>
      <c r="H26" s="350"/>
      <c r="J26" s="348" t="s">
        <v>220</v>
      </c>
      <c r="K26" s="349"/>
      <c r="L26" s="350"/>
      <c r="M26" s="98"/>
    </row>
    <row r="27" spans="1:17" x14ac:dyDescent="0.2">
      <c r="B27" s="134" t="s">
        <v>84</v>
      </c>
      <c r="D27" s="188">
        <f>WACC!$D$34</f>
        <v>0.20768485074759491</v>
      </c>
      <c r="F27" s="134" t="s">
        <v>84</v>
      </c>
      <c r="H27" s="188">
        <f>WACC!$D$34</f>
        <v>0.20768485074759491</v>
      </c>
      <c r="J27" s="134" t="s">
        <v>121</v>
      </c>
      <c r="L27" s="172">
        <f>D33/D35</f>
        <v>0.44901438043787478</v>
      </c>
    </row>
    <row r="28" spans="1:17" x14ac:dyDescent="0.2">
      <c r="B28" s="134" t="s">
        <v>88</v>
      </c>
      <c r="D28" s="336">
        <f>'DCF Model - Base (1)'!C16</f>
        <v>6.5</v>
      </c>
      <c r="F28" s="134" t="s">
        <v>135</v>
      </c>
      <c r="H28" s="361">
        <v>0.03</v>
      </c>
      <c r="J28" s="134" t="s">
        <v>122</v>
      </c>
      <c r="L28" s="172">
        <f>D30/D35</f>
        <v>0.55098561956212522</v>
      </c>
    </row>
    <row r="29" spans="1:17" x14ac:dyDescent="0.2">
      <c r="B29" s="134"/>
      <c r="D29" s="71"/>
      <c r="F29" s="134"/>
      <c r="H29" s="71"/>
      <c r="J29" s="171" t="s">
        <v>123</v>
      </c>
      <c r="K29" s="155"/>
      <c r="L29" s="173">
        <f>D35/Q10</f>
        <v>3.9391060123540482</v>
      </c>
    </row>
    <row r="30" spans="1:17" x14ac:dyDescent="0.2">
      <c r="B30" s="134" t="s">
        <v>124</v>
      </c>
      <c r="D30" s="102">
        <f>SUM(H23:Q23)</f>
        <v>14683.623032703232</v>
      </c>
      <c r="F30" s="158" t="s">
        <v>124</v>
      </c>
      <c r="H30" s="102">
        <f>SUM(H23:Q23)</f>
        <v>14683.623032703232</v>
      </c>
    </row>
    <row r="31" spans="1:17" x14ac:dyDescent="0.2">
      <c r="B31" s="160" t="s">
        <v>125</v>
      </c>
      <c r="D31" s="102">
        <f>Q10</f>
        <v>6765.4282619223886</v>
      </c>
      <c r="F31" s="159" t="s">
        <v>136</v>
      </c>
      <c r="H31" s="102">
        <f>Q16*(1+H28)</f>
        <v>4204.4561592628588</v>
      </c>
    </row>
    <row r="32" spans="1:17" x14ac:dyDescent="0.2">
      <c r="B32" s="160" t="s">
        <v>126</v>
      </c>
      <c r="D32" s="102">
        <f>D31*D28</f>
        <v>43975.283702495522</v>
      </c>
      <c r="F32" s="159" t="s">
        <v>126</v>
      </c>
      <c r="H32" s="102">
        <f>H31/(D27-H28)</f>
        <v>23662.434594581042</v>
      </c>
    </row>
    <row r="33" spans="1:12" x14ac:dyDescent="0.2">
      <c r="B33" s="160" t="s">
        <v>127</v>
      </c>
      <c r="D33" s="102">
        <f>D32/(1+D27)^Q21</f>
        <v>11966.116109985247</v>
      </c>
      <c r="F33" s="159" t="s">
        <v>127</v>
      </c>
      <c r="H33" s="102">
        <f>H32/(1+H27)^Q20</f>
        <v>5859.0496722241814</v>
      </c>
    </row>
    <row r="34" spans="1:12" x14ac:dyDescent="0.2">
      <c r="B34" s="134"/>
      <c r="D34" s="71"/>
      <c r="F34" s="134"/>
      <c r="H34" s="102"/>
      <c r="J34" s="348" t="s">
        <v>219</v>
      </c>
      <c r="K34" s="349"/>
      <c r="L34" s="350"/>
    </row>
    <row r="35" spans="1:12" x14ac:dyDescent="0.2">
      <c r="B35" s="158" t="s">
        <v>128</v>
      </c>
      <c r="D35" s="102">
        <f>D33+D30</f>
        <v>26649.739142688479</v>
      </c>
      <c r="F35" s="158" t="s">
        <v>128</v>
      </c>
      <c r="H35" s="102">
        <f>H33+H30</f>
        <v>20542.672704927412</v>
      </c>
      <c r="J35" s="134" t="s">
        <v>121</v>
      </c>
      <c r="L35" s="172">
        <f>H33/H35</f>
        <v>0.28521360177338639</v>
      </c>
    </row>
    <row r="36" spans="1:12" x14ac:dyDescent="0.2">
      <c r="B36" s="159" t="s">
        <v>129</v>
      </c>
      <c r="D36" s="104">
        <f>-'DCF Model - Base (1)'!F16</f>
        <v>-1500</v>
      </c>
      <c r="F36" s="159" t="s">
        <v>129</v>
      </c>
      <c r="H36" s="104">
        <f>-'DCF Model - Base (1)'!$F$16</f>
        <v>-1500</v>
      </c>
      <c r="J36" s="134" t="s">
        <v>122</v>
      </c>
      <c r="L36" s="172">
        <f>H30/H35</f>
        <v>0.71478639822661361</v>
      </c>
    </row>
    <row r="37" spans="1:12" x14ac:dyDescent="0.2">
      <c r="B37" s="159" t="s">
        <v>130</v>
      </c>
      <c r="D37" s="102">
        <v>0</v>
      </c>
      <c r="F37" s="159" t="s">
        <v>130</v>
      </c>
      <c r="H37" s="102"/>
      <c r="J37" s="89"/>
      <c r="K37" s="88"/>
      <c r="L37" s="335"/>
    </row>
    <row r="38" spans="1:12" x14ac:dyDescent="0.2">
      <c r="B38" s="159" t="s">
        <v>131</v>
      </c>
      <c r="D38" s="102">
        <v>0</v>
      </c>
      <c r="F38" s="159" t="s">
        <v>131</v>
      </c>
      <c r="H38" s="102"/>
    </row>
    <row r="39" spans="1:12" x14ac:dyDescent="0.2">
      <c r="B39" s="134"/>
      <c r="D39" s="71"/>
      <c r="F39" s="134"/>
      <c r="H39" s="71"/>
    </row>
    <row r="40" spans="1:12" x14ac:dyDescent="0.2">
      <c r="B40" s="153" t="s">
        <v>132</v>
      </c>
      <c r="C40" s="88"/>
      <c r="D40" s="101">
        <f>SUM(D35:D38)</f>
        <v>25149.739142688479</v>
      </c>
      <c r="F40" s="153" t="s">
        <v>132</v>
      </c>
      <c r="G40" s="88"/>
      <c r="H40" s="157">
        <f>SUM(H35:H38)</f>
        <v>19042.672704927412</v>
      </c>
      <c r="J40" s="348" t="s">
        <v>218</v>
      </c>
      <c r="K40" s="349"/>
      <c r="L40" s="350"/>
    </row>
    <row r="41" spans="1:12" x14ac:dyDescent="0.2">
      <c r="B41" s="134" t="s">
        <v>217</v>
      </c>
      <c r="D41" s="104">
        <f>'DCF Model - Base (1)'!C12</f>
        <v>10500</v>
      </c>
      <c r="F41" s="134" t="s">
        <v>217</v>
      </c>
      <c r="H41" s="104">
        <f>'DCF Model - Base (1)'!C12</f>
        <v>10500</v>
      </c>
      <c r="J41" s="134" t="s">
        <v>121</v>
      </c>
      <c r="L41" s="172">
        <f>AVERAGE(L35,L27)</f>
        <v>0.36711399110563059</v>
      </c>
    </row>
    <row r="42" spans="1:12" x14ac:dyDescent="0.2">
      <c r="A42" s="70" t="s">
        <v>66</v>
      </c>
      <c r="B42" s="154" t="s">
        <v>133</v>
      </c>
      <c r="C42" s="155"/>
      <c r="D42" s="156">
        <f>D40/D41 - 1</f>
        <v>1.3952132516846172</v>
      </c>
      <c r="F42" s="154" t="s">
        <v>133</v>
      </c>
      <c r="G42" s="155"/>
      <c r="H42" s="156">
        <f>H40/H41 - 1</f>
        <v>0.81358787665975352</v>
      </c>
      <c r="J42" s="134" t="s">
        <v>122</v>
      </c>
      <c r="L42" s="172">
        <f>AVERAGE(L36,L28)</f>
        <v>0.63288600889436941</v>
      </c>
    </row>
    <row r="43" spans="1:12" x14ac:dyDescent="0.2">
      <c r="J43" s="88"/>
      <c r="K43" s="88"/>
      <c r="L43" s="88"/>
    </row>
    <row r="59" spans="1:1" x14ac:dyDescent="0.2">
      <c r="A59" s="70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C5C6-DAC3-4F4D-81CB-BCAA3748E5C8}">
  <sheetPr>
    <tabColor theme="2"/>
  </sheetPr>
  <dimension ref="A2:T130"/>
  <sheetViews>
    <sheetView showGridLines="0" topLeftCell="A86" zoomScaleNormal="100" workbookViewId="0">
      <selection activeCell="O87" sqref="O87"/>
    </sheetView>
  </sheetViews>
  <sheetFormatPr baseColWidth="10" defaultColWidth="17.6640625" defaultRowHeight="15" x14ac:dyDescent="0.2"/>
  <sheetData>
    <row r="2" spans="1:17" ht="19" x14ac:dyDescent="0.25">
      <c r="A2" t="s">
        <v>66</v>
      </c>
      <c r="B2" s="65" t="s">
        <v>67</v>
      </c>
      <c r="C2" s="66"/>
      <c r="D2" s="67"/>
      <c r="E2" s="67"/>
      <c r="F2" s="67"/>
      <c r="G2" s="67"/>
      <c r="H2" s="67"/>
      <c r="I2" s="67"/>
    </row>
    <row r="3" spans="1:17" ht="16" thickBot="1" x14ac:dyDescent="0.25">
      <c r="B3" s="194" t="s">
        <v>68</v>
      </c>
      <c r="C3" s="68"/>
      <c r="D3" s="68"/>
      <c r="E3" s="68"/>
      <c r="F3" s="68"/>
      <c r="G3" s="68"/>
      <c r="H3" s="68"/>
      <c r="I3" s="334"/>
      <c r="J3" s="334"/>
      <c r="K3" s="334"/>
      <c r="L3" s="334"/>
      <c r="M3" s="334"/>
      <c r="N3" s="334"/>
      <c r="O3" s="334"/>
      <c r="P3" s="334"/>
      <c r="Q3" s="334"/>
    </row>
    <row r="4" spans="1:17" ht="16" thickTop="1" x14ac:dyDescent="0.2">
      <c r="B4" s="19" t="s">
        <v>69</v>
      </c>
      <c r="C4" s="67"/>
      <c r="D4" s="67"/>
      <c r="E4" s="67"/>
      <c r="F4" s="67"/>
      <c r="G4" s="67"/>
      <c r="H4" s="67"/>
      <c r="I4" s="67"/>
    </row>
    <row r="6" spans="1:17" x14ac:dyDescent="0.2">
      <c r="A6" t="s">
        <v>66</v>
      </c>
      <c r="B6" s="109" t="s">
        <v>70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8" spans="1:17" x14ac:dyDescent="0.2">
      <c r="B8" s="70" t="s">
        <v>71</v>
      </c>
      <c r="E8" s="70" t="s">
        <v>72</v>
      </c>
      <c r="H8" s="70" t="s">
        <v>73</v>
      </c>
    </row>
    <row r="9" spans="1:17" x14ac:dyDescent="0.2">
      <c r="B9" t="s">
        <v>74</v>
      </c>
      <c r="C9" s="375">
        <v>12000</v>
      </c>
      <c r="E9" t="s">
        <v>75</v>
      </c>
      <c r="F9" s="375">
        <v>1000</v>
      </c>
      <c r="H9" t="s">
        <v>76</v>
      </c>
      <c r="I9" s="377">
        <v>44781</v>
      </c>
    </row>
    <row r="10" spans="1:17" x14ac:dyDescent="0.2">
      <c r="B10" t="s">
        <v>77</v>
      </c>
      <c r="C10" s="380">
        <f>C9/I54</f>
        <v>3.24256542875005</v>
      </c>
      <c r="E10" t="s">
        <v>78</v>
      </c>
      <c r="F10" s="375">
        <v>100</v>
      </c>
      <c r="H10" t="s">
        <v>79</v>
      </c>
      <c r="I10" s="377">
        <v>45223</v>
      </c>
    </row>
    <row r="11" spans="1:17" x14ac:dyDescent="0.2">
      <c r="B11" t="s">
        <v>80</v>
      </c>
      <c r="C11" s="375">
        <v>250</v>
      </c>
      <c r="E11" t="s">
        <v>81</v>
      </c>
      <c r="F11" s="378">
        <v>0.26500000000000001</v>
      </c>
      <c r="H11" t="s">
        <v>82</v>
      </c>
      <c r="I11" s="377">
        <v>44926</v>
      </c>
    </row>
    <row r="12" spans="1:17" x14ac:dyDescent="0.2">
      <c r="B12" t="s">
        <v>83</v>
      </c>
      <c r="C12" s="99">
        <f>C9-F16</f>
        <v>10500</v>
      </c>
      <c r="E12" t="s">
        <v>84</v>
      </c>
      <c r="F12" s="130">
        <f>WACC!D34</f>
        <v>0.20768485074759491</v>
      </c>
      <c r="G12" s="137"/>
      <c r="I12" s="379"/>
    </row>
    <row r="13" spans="1:17" x14ac:dyDescent="0.2">
      <c r="C13" s="99"/>
      <c r="E13" t="s">
        <v>85</v>
      </c>
      <c r="F13" s="130">
        <v>3.9E-2</v>
      </c>
      <c r="I13" s="379"/>
    </row>
    <row r="15" spans="1:17" x14ac:dyDescent="0.2">
      <c r="B15" s="70" t="s">
        <v>86</v>
      </c>
      <c r="E15" s="70" t="s">
        <v>87</v>
      </c>
    </row>
    <row r="16" spans="1:17" x14ac:dyDescent="0.2">
      <c r="B16" t="s">
        <v>88</v>
      </c>
      <c r="C16" s="376">
        <v>6.5</v>
      </c>
      <c r="E16" t="s">
        <v>57</v>
      </c>
      <c r="F16" s="375">
        <v>1500</v>
      </c>
    </row>
    <row r="18" spans="1:20" x14ac:dyDescent="0.2">
      <c r="A18" t="s">
        <v>66</v>
      </c>
      <c r="B18" s="109" t="s">
        <v>89</v>
      </c>
      <c r="C18" s="110"/>
      <c r="D18" s="110"/>
      <c r="E18" s="110"/>
      <c r="F18" s="110"/>
      <c r="G18" s="110"/>
      <c r="H18" s="111">
        <v>2021</v>
      </c>
      <c r="I18" s="112">
        <f>H18+1</f>
        <v>2022</v>
      </c>
      <c r="J18" s="113">
        <f t="shared" ref="J18:Q18" si="0">I18+1</f>
        <v>2023</v>
      </c>
      <c r="K18" s="113">
        <f t="shared" si="0"/>
        <v>2024</v>
      </c>
      <c r="L18" s="113">
        <f t="shared" si="0"/>
        <v>2025</v>
      </c>
      <c r="M18" s="113">
        <f t="shared" si="0"/>
        <v>2026</v>
      </c>
      <c r="N18" s="113">
        <f t="shared" si="0"/>
        <v>2027</v>
      </c>
      <c r="O18" s="113">
        <f t="shared" si="0"/>
        <v>2028</v>
      </c>
      <c r="P18" s="113">
        <f t="shared" si="0"/>
        <v>2029</v>
      </c>
      <c r="Q18" s="113">
        <f t="shared" si="0"/>
        <v>2030</v>
      </c>
      <c r="S18" s="358" t="s">
        <v>212</v>
      </c>
      <c r="T18" s="358" t="s">
        <v>213</v>
      </c>
    </row>
    <row r="19" spans="1:20" ht="15" customHeight="1" x14ac:dyDescent="0.2">
      <c r="B19" s="70"/>
      <c r="I19" s="71"/>
    </row>
    <row r="20" spans="1:20" x14ac:dyDescent="0.2">
      <c r="B20" s="179" t="s">
        <v>31</v>
      </c>
      <c r="C20" s="175"/>
      <c r="D20" s="175"/>
      <c r="E20" s="175"/>
      <c r="F20" s="175"/>
      <c r="G20" s="176"/>
      <c r="H20" s="253">
        <f>'Original &amp; Adjusted Data'!V12</f>
        <v>13563.457150000002</v>
      </c>
      <c r="I20" s="254">
        <f>'Original &amp; Adjusted Data'!W12</f>
        <v>15755.558590000001</v>
      </c>
      <c r="J20" s="253">
        <f>'Original &amp; Adjusted Data'!X12</f>
        <v>16380.097229999998</v>
      </c>
      <c r="K20" s="253">
        <f>'Original &amp; Adjusted Data'!Y12</f>
        <v>17191.966910000003</v>
      </c>
      <c r="L20" s="253">
        <f>'Original &amp; Adjusted Data'!Z12</f>
        <v>18351.806248199999</v>
      </c>
      <c r="M20" s="253">
        <f>'Original &amp; Adjusted Data'!AA12</f>
        <v>18718.842373164</v>
      </c>
      <c r="N20" s="253">
        <f>'Original &amp; Adjusted Data'!AB12</f>
        <v>19093.219220627281</v>
      </c>
      <c r="O20" s="253">
        <f>'Original &amp; Adjusted Data'!AC12</f>
        <v>19475.083605039825</v>
      </c>
      <c r="P20" s="253">
        <f>'Original &amp; Adjusted Data'!AD12</f>
        <v>19864.585277140621</v>
      </c>
      <c r="Q20" s="253">
        <f>'Original &amp; Adjusted Data'!AE12</f>
        <v>20261.876982683436</v>
      </c>
      <c r="S20" s="174">
        <f>+(I20/H20)^(1/(COLUMNS(H20:I20)-1))-1</f>
        <v>0.16161819333797189</v>
      </c>
      <c r="T20" s="174">
        <f>+(Q20/J20)^(1/(COLUMNS(J20:Q20)-1))-1</f>
        <v>3.0848261183691772E-2</v>
      </c>
    </row>
    <row r="21" spans="1:20" x14ac:dyDescent="0.2">
      <c r="B21" s="91" t="s">
        <v>90</v>
      </c>
      <c r="I21" s="120">
        <f>I20/H20 - 1</f>
        <v>0.16161819333797189</v>
      </c>
      <c r="J21" s="119">
        <f t="shared" ref="J21:Q21" si="1">J20/I20 - 1</f>
        <v>3.9639257245781767E-2</v>
      </c>
      <c r="K21" s="119">
        <f t="shared" si="1"/>
        <v>4.9564399319502961E-2</v>
      </c>
      <c r="L21" s="119">
        <f t="shared" si="1"/>
        <v>6.746402807030516E-2</v>
      </c>
      <c r="M21" s="119">
        <f t="shared" si="1"/>
        <v>2.0000000000000018E-2</v>
      </c>
      <c r="N21" s="119">
        <f t="shared" si="1"/>
        <v>2.0000000000000018E-2</v>
      </c>
      <c r="O21" s="119">
        <f t="shared" si="1"/>
        <v>1.9999999999999796E-2</v>
      </c>
      <c r="P21" s="119">
        <f t="shared" si="1"/>
        <v>2.0000000000000018E-2</v>
      </c>
      <c r="Q21" s="119">
        <f t="shared" si="1"/>
        <v>2.000000000000024E-2</v>
      </c>
    </row>
    <row r="22" spans="1:20" x14ac:dyDescent="0.2">
      <c r="B22" s="90"/>
      <c r="I22" s="71"/>
    </row>
    <row r="23" spans="1:20" x14ac:dyDescent="0.2">
      <c r="B23" s="70" t="s">
        <v>91</v>
      </c>
      <c r="I23" s="71"/>
    </row>
    <row r="24" spans="1:20" x14ac:dyDescent="0.2">
      <c r="B24" t="s">
        <v>36</v>
      </c>
      <c r="C24" s="180"/>
      <c r="D24" s="180"/>
      <c r="E24" s="180"/>
      <c r="G24" s="180"/>
      <c r="H24" s="103">
        <f>'Original &amp; Adjusted Data'!V16</f>
        <v>4886.8441399999992</v>
      </c>
      <c r="I24" s="104">
        <f>'Original &amp; Adjusted Data'!W16</f>
        <v>5278.8393300000007</v>
      </c>
      <c r="J24" s="103">
        <f>'Original &amp; Adjusted Data'!X16</f>
        <v>5386.6709599999995</v>
      </c>
      <c r="K24" s="103">
        <f>'Original &amp; Adjusted Data'!Y16</f>
        <v>5052.2209631999986</v>
      </c>
      <c r="L24" s="103">
        <f>'Original &amp; Adjusted Data'!Z16</f>
        <v>5153.2653824640001</v>
      </c>
      <c r="M24" s="103">
        <f>'Original &amp; Adjusted Data'!AA16</f>
        <v>5256.330690113281</v>
      </c>
      <c r="N24" s="103">
        <f>'Original &amp; Adjusted Data'!AB16</f>
        <v>5361.4573039155466</v>
      </c>
      <c r="O24" s="103">
        <f>'Original &amp; Adjusted Data'!AC16</f>
        <v>5468.6864499938574</v>
      </c>
      <c r="P24" s="103">
        <f>'Original &amp; Adjusted Data'!AD16</f>
        <v>5578.0601789937318</v>
      </c>
      <c r="Q24" s="103">
        <f>'Original &amp; Adjusted Data'!AE16</f>
        <v>5689.6213825736086</v>
      </c>
      <c r="S24" s="174">
        <f>+(I24/H24)^(1/(COLUMNS(H24:I24)-1))-1</f>
        <v>8.0214383510091247E-2</v>
      </c>
      <c r="T24" s="174">
        <f>+(Q24/J24)^(1/(COLUMNS(J24:Q24)-1))-1</f>
        <v>7.8472212543945208E-3</v>
      </c>
    </row>
    <row r="25" spans="1:20" x14ac:dyDescent="0.2">
      <c r="B25" s="91" t="s">
        <v>92</v>
      </c>
      <c r="H25" s="119">
        <f>H24/H20</f>
        <v>0.36029487806506605</v>
      </c>
      <c r="I25" s="120">
        <f t="shared" ref="I25:Q25" si="2">I24/I20</f>
        <v>0.3350461552883604</v>
      </c>
      <c r="J25" s="119">
        <f t="shared" si="2"/>
        <v>0.32885463891718303</v>
      </c>
      <c r="K25" s="119">
        <f t="shared" si="2"/>
        <v>0.29387102648861474</v>
      </c>
      <c r="L25" s="119">
        <f t="shared" si="2"/>
        <v>0.2808042605053902</v>
      </c>
      <c r="M25" s="119">
        <f t="shared" si="2"/>
        <v>0.28080426050539026</v>
      </c>
      <c r="N25" s="119">
        <f t="shared" si="2"/>
        <v>0.2808042605053902</v>
      </c>
      <c r="O25" s="119">
        <f t="shared" si="2"/>
        <v>0.28080426050539026</v>
      </c>
      <c r="P25" s="119">
        <f t="shared" si="2"/>
        <v>0.28080426050539009</v>
      </c>
      <c r="Q25" s="119">
        <f t="shared" si="2"/>
        <v>0.28080426050539015</v>
      </c>
    </row>
    <row r="26" spans="1:20" x14ac:dyDescent="0.2">
      <c r="I26" s="71"/>
    </row>
    <row r="27" spans="1:20" x14ac:dyDescent="0.2">
      <c r="B27" t="s">
        <v>37</v>
      </c>
      <c r="H27" s="103">
        <f>'Original &amp; Adjusted Data'!V17</f>
        <v>1877.89807</v>
      </c>
      <c r="I27" s="104">
        <f>'Original &amp; Adjusted Data'!W17</f>
        <v>2622.0151499999997</v>
      </c>
      <c r="J27" s="103">
        <f>'Original &amp; Adjusted Data'!X17</f>
        <v>2916.1929700000005</v>
      </c>
      <c r="K27" s="103">
        <f>'Original &amp; Adjusted Data'!Y17</f>
        <v>2916.1929700000005</v>
      </c>
      <c r="L27" s="103">
        <f>'Original &amp; Adjusted Data'!Z17</f>
        <v>2974.5168294000009</v>
      </c>
      <c r="M27" s="103">
        <f>'Original &amp; Adjusted Data'!AA17</f>
        <v>3034.007165988</v>
      </c>
      <c r="N27" s="103">
        <f>'Original &amp; Adjusted Data'!AB17</f>
        <v>3094.6873093077611</v>
      </c>
      <c r="O27" s="103">
        <f>'Original &amp; Adjusted Data'!AC17</f>
        <v>3156.5810554939158</v>
      </c>
      <c r="P27" s="103">
        <f>'Original &amp; Adjusted Data'!AD17</f>
        <v>3219.7126766037941</v>
      </c>
      <c r="Q27" s="103">
        <f>'Original &amp; Adjusted Data'!AE17</f>
        <v>3284.1069301358698</v>
      </c>
      <c r="S27" s="174">
        <f>+(I27/H27)^(1/(COLUMNS(H27:I27)-1))-1</f>
        <v>0.39624998389822075</v>
      </c>
      <c r="T27" s="174">
        <f>+(Q27/J27)^(1/(COLUMNS(J27:Q27)-1))-1</f>
        <v>1.7118551961483375E-2</v>
      </c>
    </row>
    <row r="28" spans="1:20" x14ac:dyDescent="0.2">
      <c r="B28" s="91" t="s">
        <v>92</v>
      </c>
      <c r="H28" s="119">
        <f t="shared" ref="H28:Q28" si="3">H27/H20</f>
        <v>0.13845275944267643</v>
      </c>
      <c r="I28" s="120">
        <f>I27/I20</f>
        <v>0.16641841893591661</v>
      </c>
      <c r="J28" s="119">
        <f t="shared" si="3"/>
        <v>0.17803270206839919</v>
      </c>
      <c r="K28" s="119">
        <f t="shared" si="3"/>
        <v>0.16962532473836642</v>
      </c>
      <c r="L28" s="119">
        <f t="shared" si="3"/>
        <v>0.16208305543176441</v>
      </c>
      <c r="M28" s="119">
        <f t="shared" si="3"/>
        <v>0.16208305543176435</v>
      </c>
      <c r="N28" s="119">
        <f t="shared" si="3"/>
        <v>0.16208305543176441</v>
      </c>
      <c r="O28" s="119">
        <f t="shared" si="3"/>
        <v>0.16208305543176438</v>
      </c>
      <c r="P28" s="119">
        <f t="shared" si="3"/>
        <v>0.16208305543176441</v>
      </c>
      <c r="Q28" s="119">
        <f t="shared" si="3"/>
        <v>0.16208305543176435</v>
      </c>
    </row>
    <row r="29" spans="1:20" x14ac:dyDescent="0.2">
      <c r="B29" s="91"/>
      <c r="H29" s="95"/>
      <c r="I29" s="94"/>
      <c r="J29" s="95"/>
      <c r="K29" s="95"/>
      <c r="L29" s="95"/>
      <c r="M29" s="95"/>
      <c r="N29" s="95"/>
      <c r="O29" s="95"/>
      <c r="P29" s="95"/>
      <c r="Q29" s="95"/>
    </row>
    <row r="30" spans="1:20" x14ac:dyDescent="0.2">
      <c r="B30" s="179" t="s">
        <v>38</v>
      </c>
      <c r="C30" s="175"/>
      <c r="D30" s="175"/>
      <c r="E30" s="175"/>
      <c r="F30" s="175"/>
      <c r="G30" s="176"/>
      <c r="H30" s="176">
        <f>H24+H27</f>
        <v>6764.7422099999994</v>
      </c>
      <c r="I30" s="178">
        <f>I24+I27</f>
        <v>7900.85448</v>
      </c>
      <c r="J30" s="176">
        <f t="shared" ref="J30:Q30" si="4">J24+J27</f>
        <v>8302.8639299999995</v>
      </c>
      <c r="K30" s="176">
        <f t="shared" si="4"/>
        <v>7968.4139331999995</v>
      </c>
      <c r="L30" s="176">
        <f t="shared" si="4"/>
        <v>8127.7822118640015</v>
      </c>
      <c r="M30" s="176">
        <f t="shared" si="4"/>
        <v>8290.3378561012814</v>
      </c>
      <c r="N30" s="176">
        <f t="shared" si="4"/>
        <v>8456.1446132233068</v>
      </c>
      <c r="O30" s="176">
        <f t="shared" si="4"/>
        <v>8625.2675054877727</v>
      </c>
      <c r="P30" s="176">
        <f t="shared" si="4"/>
        <v>8797.7728555975264</v>
      </c>
      <c r="Q30" s="176">
        <f t="shared" si="4"/>
        <v>8973.7283127094779</v>
      </c>
    </row>
    <row r="31" spans="1:20" x14ac:dyDescent="0.2">
      <c r="I31" s="71"/>
    </row>
    <row r="32" spans="1:20" x14ac:dyDescent="0.2">
      <c r="B32" s="89" t="s">
        <v>39</v>
      </c>
      <c r="C32" s="88"/>
      <c r="D32" s="88"/>
      <c r="E32" s="88"/>
      <c r="F32" s="88"/>
      <c r="G32" s="88"/>
      <c r="H32" s="100">
        <f>H20-H30</f>
        <v>6798.7149400000026</v>
      </c>
      <c r="I32" s="101">
        <f t="shared" ref="I32:Q32" si="5">I20-I30</f>
        <v>7854.7041100000006</v>
      </c>
      <c r="J32" s="100">
        <f t="shared" si="5"/>
        <v>8077.2332999999981</v>
      </c>
      <c r="K32" s="100">
        <f t="shared" si="5"/>
        <v>9223.5529768000033</v>
      </c>
      <c r="L32" s="100">
        <f t="shared" si="5"/>
        <v>10224.024036335997</v>
      </c>
      <c r="M32" s="100">
        <f t="shared" si="5"/>
        <v>10428.504517062718</v>
      </c>
      <c r="N32" s="100">
        <f t="shared" si="5"/>
        <v>10637.074607403974</v>
      </c>
      <c r="O32" s="100">
        <f t="shared" si="5"/>
        <v>10849.816099552052</v>
      </c>
      <c r="P32" s="100">
        <f t="shared" si="5"/>
        <v>11066.812421543094</v>
      </c>
      <c r="Q32" s="100">
        <f t="shared" si="5"/>
        <v>11288.148669973958</v>
      </c>
      <c r="S32" s="174">
        <f>+(I32/H32)^(1/(COLUMNS(H32:I32)-1))-1</f>
        <v>0.15532187763706973</v>
      </c>
      <c r="T32" s="174">
        <f>+(Q32/J32)^(1/(COLUMNS(J32:Q32)-1))-1</f>
        <v>4.8976424537831686E-2</v>
      </c>
    </row>
    <row r="33" spans="2:20" x14ac:dyDescent="0.2">
      <c r="B33" s="91" t="s">
        <v>93</v>
      </c>
      <c r="H33" s="119">
        <f t="shared" ref="H33:Q33" si="6">H32/H20</f>
        <v>0.50125236249225746</v>
      </c>
      <c r="I33" s="120">
        <f>I32/I20</f>
        <v>0.49853542577572302</v>
      </c>
      <c r="J33" s="119">
        <f t="shared" si="6"/>
        <v>0.49311265901441781</v>
      </c>
      <c r="K33" s="119">
        <f t="shared" si="6"/>
        <v>0.53650364877301882</v>
      </c>
      <c r="L33" s="119">
        <f t="shared" si="6"/>
        <v>0.55711268406284531</v>
      </c>
      <c r="M33" s="119">
        <f t="shared" si="6"/>
        <v>0.55711268406284542</v>
      </c>
      <c r="N33" s="119">
        <f t="shared" si="6"/>
        <v>0.55711268406284542</v>
      </c>
      <c r="O33" s="119">
        <f t="shared" si="6"/>
        <v>0.55711268406284542</v>
      </c>
      <c r="P33" s="119">
        <f t="shared" si="6"/>
        <v>0.55711268406284553</v>
      </c>
      <c r="Q33" s="119">
        <f t="shared" si="6"/>
        <v>0.55711268406284553</v>
      </c>
    </row>
    <row r="34" spans="2:20" x14ac:dyDescent="0.2">
      <c r="I34" s="71"/>
    </row>
    <row r="35" spans="2:20" x14ac:dyDescent="0.2">
      <c r="B35" s="70" t="s">
        <v>41</v>
      </c>
      <c r="I35" s="71"/>
    </row>
    <row r="36" spans="2:20" x14ac:dyDescent="0.2">
      <c r="B36" t="s">
        <v>216</v>
      </c>
      <c r="H36" s="103">
        <f>'Original &amp; Adjusted Data'!V24</f>
        <v>3732.3637600000002</v>
      </c>
      <c r="I36" s="104">
        <f>'Original &amp; Adjusted Data'!W24</f>
        <v>4224.7069699999993</v>
      </c>
      <c r="J36" s="103">
        <f>'Original &amp; Adjusted Data'!X24</f>
        <v>4056.7653299999997</v>
      </c>
      <c r="K36" s="103">
        <f>'Original &amp; Adjusted Data'!Y24</f>
        <v>4200.9513299999981</v>
      </c>
      <c r="L36" s="103">
        <f>'Original &amp; Adjusted Data'!Z24</f>
        <v>4279.3503565999999</v>
      </c>
      <c r="M36" s="103">
        <f>'Original &amp; Adjusted Data'!AA24</f>
        <v>4361.0573637320012</v>
      </c>
      <c r="N36" s="103">
        <f>'Original &amp; Adjusted Data'!AB24</f>
        <v>4443.0985110066413</v>
      </c>
      <c r="O36" s="103">
        <f>'Original &amp; Adjusted Data'!AC24</f>
        <v>4527.5004812267744</v>
      </c>
      <c r="P36" s="103">
        <f>'Original &amp; Adjusted Data'!AD24</f>
        <v>4613.2904908513083</v>
      </c>
      <c r="Q36" s="103">
        <f>'Original &amp; Adjusted Data'!AE24</f>
        <v>4700.4963006683338</v>
      </c>
      <c r="S36" s="174">
        <f>+(I36/H36)^(1/(COLUMNS(H36:I36)-1))-1</f>
        <v>0.13191190399941055</v>
      </c>
      <c r="T36" s="174">
        <f>+(Q36/J36)^(1/(COLUMNS(J36:Q36)-1))-1</f>
        <v>2.1263216426966158E-2</v>
      </c>
    </row>
    <row r="37" spans="2:20" x14ac:dyDescent="0.2">
      <c r="B37" s="91" t="s">
        <v>92</v>
      </c>
      <c r="H37" s="114">
        <f>H36/H20</f>
        <v>0.27517790772096773</v>
      </c>
      <c r="I37" s="121">
        <f t="shared" ref="I37:Q37" si="7">I36/I20</f>
        <v>0.26814072924595683</v>
      </c>
      <c r="J37" s="114">
        <f t="shared" si="7"/>
        <v>0.24766430095238209</v>
      </c>
      <c r="K37" s="114">
        <f t="shared" si="7"/>
        <v>0.2443554802072381</v>
      </c>
      <c r="L37" s="114">
        <f t="shared" si="7"/>
        <v>0.23318415085271138</v>
      </c>
      <c r="M37" s="114">
        <f t="shared" si="7"/>
        <v>0.2329768730775878</v>
      </c>
      <c r="N37" s="114">
        <f t="shared" si="7"/>
        <v>0.23270557257345886</v>
      </c>
      <c r="O37" s="114">
        <f t="shared" si="7"/>
        <v>0.23247656200331449</v>
      </c>
      <c r="P37" s="114">
        <f t="shared" si="7"/>
        <v>0.23223693958313343</v>
      </c>
      <c r="Q37" s="114">
        <f t="shared" si="7"/>
        <v>0.23198720951102186</v>
      </c>
    </row>
    <row r="38" spans="2:20" x14ac:dyDescent="0.2">
      <c r="I38" s="71"/>
    </row>
    <row r="39" spans="2:20" x14ac:dyDescent="0.2">
      <c r="B39" t="s">
        <v>43</v>
      </c>
      <c r="H39" s="103">
        <f>'Original &amp; Adjusted Data'!V25</f>
        <v>233.78640999999999</v>
      </c>
      <c r="I39" s="104">
        <f>'Original &amp; Adjusted Data'!W25</f>
        <v>231.49663000000001</v>
      </c>
      <c r="J39" s="103">
        <f>'Original &amp; Adjusted Data'!X25</f>
        <v>273.11919999999998</v>
      </c>
      <c r="K39" s="103">
        <f>'Original &amp; Adjusted Data'!Y25</f>
        <v>273.11919999999992</v>
      </c>
      <c r="L39" s="103">
        <f>'Original &amp; Adjusted Data'!Z25</f>
        <v>277.21598800000004</v>
      </c>
      <c r="M39" s="103">
        <f>'Original &amp; Adjusted Data'!AA25</f>
        <v>281.37422781999993</v>
      </c>
      <c r="N39" s="103">
        <f>'Original &amp; Adjusted Data'!AB25</f>
        <v>285.59484123729987</v>
      </c>
      <c r="O39" s="103">
        <f>'Original &amp; Adjusted Data'!AC25</f>
        <v>289.87876385585935</v>
      </c>
      <c r="P39" s="103">
        <f>'Original &amp; Adjusted Data'!AD25</f>
        <v>294.22694531369723</v>
      </c>
      <c r="Q39" s="103">
        <f>'Original &amp; Adjusted Data'!AE25</f>
        <v>298.64034949340265</v>
      </c>
      <c r="S39" s="174">
        <f>+(I39/H39)^(1/(COLUMNS(H39:I39)-1))-1</f>
        <v>-9.7943246572800291E-3</v>
      </c>
      <c r="T39" s="174">
        <f>+(Q39/J39)^(1/(COLUMNS(J39:Q39)-1))-1</f>
        <v>1.2843445437493939E-2</v>
      </c>
    </row>
    <row r="40" spans="2:20" x14ac:dyDescent="0.2">
      <c r="B40" s="91" t="s">
        <v>92</v>
      </c>
      <c r="H40" s="114">
        <f>H39/H20</f>
        <v>1.7236491214188705E-2</v>
      </c>
      <c r="I40" s="121">
        <f t="shared" ref="I40:Q40" si="8">I39/I20</f>
        <v>1.4693013178658745E-2</v>
      </c>
      <c r="J40" s="114">
        <f t="shared" si="8"/>
        <v>1.6673844859710886E-2</v>
      </c>
      <c r="K40" s="114">
        <f t="shared" si="8"/>
        <v>1.5886442861935444E-2</v>
      </c>
      <c r="L40" s="114">
        <f t="shared" si="8"/>
        <v>1.5105651413859616E-2</v>
      </c>
      <c r="M40" s="114">
        <f t="shared" si="8"/>
        <v>1.5031604103007357E-2</v>
      </c>
      <c r="N40" s="114">
        <f t="shared" si="8"/>
        <v>1.4957919769169081E-2</v>
      </c>
      <c r="O40" s="114">
        <f t="shared" si="8"/>
        <v>1.4884596633045703E-2</v>
      </c>
      <c r="P40" s="114">
        <f t="shared" si="8"/>
        <v>1.4811632924060184E-2</v>
      </c>
      <c r="Q40" s="114">
        <f t="shared" si="8"/>
        <v>1.4739026880314789E-2</v>
      </c>
    </row>
    <row r="41" spans="2:20" x14ac:dyDescent="0.2">
      <c r="B41" s="92"/>
      <c r="I41" s="71"/>
    </row>
    <row r="42" spans="2:20" x14ac:dyDescent="0.2">
      <c r="B42" t="s">
        <v>44</v>
      </c>
      <c r="H42" s="103">
        <f>'Original &amp; Adjusted Data'!V26</f>
        <v>139.57787000000002</v>
      </c>
      <c r="I42" s="104">
        <f>'Original &amp; Adjusted Data'!W26</f>
        <v>21.188420000000001</v>
      </c>
      <c r="J42" s="103">
        <f>'Original &amp; Adjusted Data'!X26</f>
        <v>110.17088</v>
      </c>
      <c r="K42" s="103">
        <f>'Original &amp; Adjusted Data'!Y26</f>
        <v>110.17056000000001</v>
      </c>
      <c r="L42" s="103">
        <f>'Original &amp; Adjusted Data'!Z26</f>
        <v>111.82311839999996</v>
      </c>
      <c r="M42" s="103">
        <f>'Original &amp; Adjusted Data'!AA26</f>
        <v>113.50046517599998</v>
      </c>
      <c r="N42" s="103">
        <f>'Original &amp; Adjusted Data'!AB26</f>
        <v>115.20297215364</v>
      </c>
      <c r="O42" s="103">
        <f>'Original &amp; Adjusted Data'!AC26</f>
        <v>116.93101673594454</v>
      </c>
      <c r="P42" s="103">
        <f>'Original &amp; Adjusted Data'!AD26</f>
        <v>118.6849819869837</v>
      </c>
      <c r="Q42" s="103">
        <f>'Original &amp; Adjusted Data'!AE26</f>
        <v>120.46525671678843</v>
      </c>
      <c r="S42" s="174">
        <f>+(I42/H42)^(1/(COLUMNS(H42:I42)-1))-1</f>
        <v>-0.8481964225417683</v>
      </c>
      <c r="T42" s="174">
        <f>+(Q42/J42)^(1/(COLUMNS(J42:Q42)-1))-1</f>
        <v>1.2843025167888156E-2</v>
      </c>
    </row>
    <row r="43" spans="2:20" x14ac:dyDescent="0.2">
      <c r="B43" s="91" t="s">
        <v>92</v>
      </c>
      <c r="H43" s="114">
        <f>H42/H20</f>
        <v>1.0290729602076415E-2</v>
      </c>
      <c r="I43" s="121">
        <f t="shared" ref="I43:Q43" si="9">I42/I20</f>
        <v>1.3448218848583521E-3</v>
      </c>
      <c r="J43" s="114">
        <f t="shared" si="9"/>
        <v>6.7258990256921702E-3</v>
      </c>
      <c r="K43" s="114">
        <f t="shared" si="9"/>
        <v>6.4082580298544791E-3</v>
      </c>
      <c r="L43" s="114">
        <f t="shared" si="9"/>
        <v>6.0933031270950736E-3</v>
      </c>
      <c r="M43" s="114">
        <f t="shared" si="9"/>
        <v>6.0634339941191178E-3</v>
      </c>
      <c r="N43" s="114">
        <f t="shared" si="9"/>
        <v>6.0337112784616719E-3</v>
      </c>
      <c r="O43" s="114">
        <f t="shared" si="9"/>
        <v>6.0041342623907788E-3</v>
      </c>
      <c r="P43" s="114">
        <f t="shared" si="9"/>
        <v>5.9747022316927849E-3</v>
      </c>
      <c r="Q43" s="114">
        <f t="shared" si="9"/>
        <v>5.945414475655073E-3</v>
      </c>
    </row>
    <row r="44" spans="2:20" x14ac:dyDescent="0.2">
      <c r="I44" s="71"/>
    </row>
    <row r="45" spans="2:20" x14ac:dyDescent="0.2">
      <c r="B45" t="s">
        <v>45</v>
      </c>
      <c r="H45" s="103">
        <f>'Original &amp; Adjusted Data'!V27</f>
        <v>202.160416</v>
      </c>
      <c r="I45" s="104">
        <f>'Original &amp; Adjusted Data'!W27</f>
        <v>291.00544000000002</v>
      </c>
      <c r="J45" s="103">
        <f>'Original &amp; Adjusted Data'!X27</f>
        <v>320.60965999999996</v>
      </c>
      <c r="K45" s="103">
        <f>'Original &amp; Adjusted Data'!Y27</f>
        <v>176.81000000000006</v>
      </c>
      <c r="L45" s="103">
        <f>'Original &amp; Adjusted Data'!Z27</f>
        <v>179.46214999999995</v>
      </c>
      <c r="M45" s="103">
        <f>'Original &amp; Adjusted Data'!AA27</f>
        <v>182.15408224999999</v>
      </c>
      <c r="N45" s="103">
        <f>'Original &amp; Adjusted Data'!AB27</f>
        <v>184.88639348374991</v>
      </c>
      <c r="O45" s="103">
        <f>'Original &amp; Adjusted Data'!AC27</f>
        <v>187.65968938600614</v>
      </c>
      <c r="P45" s="103">
        <f>'Original &amp; Adjusted Data'!AD27</f>
        <v>190.47458472679625</v>
      </c>
      <c r="Q45" s="103">
        <f>'Original &amp; Adjusted Data'!AE27</f>
        <v>193.33170349769821</v>
      </c>
      <c r="S45" s="174">
        <f>+(I45/H45)^(1/(COLUMNS(H45:I45)-1))-1</f>
        <v>0.43947784515837185</v>
      </c>
      <c r="T45" s="174">
        <f>+(Q45/J45)^(1/(COLUMNS(J45:Q45)-1))-1</f>
        <v>-6.9710610226294434E-2</v>
      </c>
    </row>
    <row r="46" spans="2:20" x14ac:dyDescent="0.2">
      <c r="B46" s="91" t="s">
        <v>92</v>
      </c>
      <c r="H46" s="114">
        <f>H45/H20</f>
        <v>1.4904785244962415E-2</v>
      </c>
      <c r="I46" s="121">
        <f t="shared" ref="I46:Q46" si="10">I45/I20</f>
        <v>1.8470017317234324E-2</v>
      </c>
      <c r="J46" s="114">
        <f t="shared" si="10"/>
        <v>1.9573123132187904E-2</v>
      </c>
      <c r="K46" s="114">
        <f t="shared" si="10"/>
        <v>1.0284454415576818E-2</v>
      </c>
      <c r="L46" s="114">
        <f t="shared" si="10"/>
        <v>9.7789911016307809E-3</v>
      </c>
      <c r="M46" s="114">
        <f t="shared" si="10"/>
        <v>9.7310548707404357E-3</v>
      </c>
      <c r="N46" s="114">
        <f t="shared" si="10"/>
        <v>9.6833536213740551E-3</v>
      </c>
      <c r="O46" s="114">
        <f t="shared" si="10"/>
        <v>9.6358862016614373E-3</v>
      </c>
      <c r="P46" s="114">
        <f t="shared" si="10"/>
        <v>9.5886514653787842E-3</v>
      </c>
      <c r="Q46" s="114">
        <f t="shared" si="10"/>
        <v>9.5416482719210462E-3</v>
      </c>
    </row>
    <row r="47" spans="2:20" x14ac:dyDescent="0.2">
      <c r="B47" s="91"/>
      <c r="I47" s="71"/>
    </row>
    <row r="48" spans="2:20" x14ac:dyDescent="0.2">
      <c r="B48" s="89" t="s">
        <v>46</v>
      </c>
      <c r="C48" s="88"/>
      <c r="D48" s="88"/>
      <c r="E48" s="88"/>
      <c r="F48" s="88"/>
      <c r="G48" s="88"/>
      <c r="H48" s="100">
        <f>-(H36+H39+H42+H45)</f>
        <v>-4307.8884559999997</v>
      </c>
      <c r="I48" s="101">
        <f t="shared" ref="I48:Q48" si="11">-(I36+I39+I42+I45)</f>
        <v>-4768.3974599999992</v>
      </c>
      <c r="J48" s="100">
        <f t="shared" si="11"/>
        <v>-4760.6650699999991</v>
      </c>
      <c r="K48" s="100">
        <f t="shared" si="11"/>
        <v>-4761.0510899999981</v>
      </c>
      <c r="L48" s="100">
        <f t="shared" si="11"/>
        <v>-4847.8516129999998</v>
      </c>
      <c r="M48" s="100">
        <f t="shared" si="11"/>
        <v>-4938.0861389780011</v>
      </c>
      <c r="N48" s="100">
        <f t="shared" si="11"/>
        <v>-5028.7827178813313</v>
      </c>
      <c r="O48" s="100">
        <f t="shared" si="11"/>
        <v>-5121.9699512045845</v>
      </c>
      <c r="P48" s="100">
        <f t="shared" si="11"/>
        <v>-5216.6770028787851</v>
      </c>
      <c r="Q48" s="100">
        <f t="shared" si="11"/>
        <v>-5312.9336103762234</v>
      </c>
      <c r="S48" s="174">
        <f>+(I48/H48)^(1/(COLUMNS(H48:I48)-1))-1</f>
        <v>0.10689900834331167</v>
      </c>
      <c r="T48" s="174">
        <f>+(Q48/J48)^(1/(COLUMNS(J48:Q48)-1))-1</f>
        <v>1.5803107907230052E-2</v>
      </c>
    </row>
    <row r="49" spans="1:20" x14ac:dyDescent="0.2">
      <c r="B49" s="91" t="s">
        <v>92</v>
      </c>
      <c r="H49" s="122">
        <f>-H48/H20</f>
        <v>0.31760991378219522</v>
      </c>
      <c r="I49" s="123">
        <f t="shared" ref="I49:Q49" si="12">-I48/I20</f>
        <v>0.30264858162670821</v>
      </c>
      <c r="J49" s="122">
        <f t="shared" si="12"/>
        <v>0.29063716796997302</v>
      </c>
      <c r="K49" s="122">
        <f t="shared" si="12"/>
        <v>0.27693463551460484</v>
      </c>
      <c r="L49" s="122">
        <f t="shared" si="12"/>
        <v>0.26416209649529687</v>
      </c>
      <c r="M49" s="122">
        <f t="shared" si="12"/>
        <v>0.26380296604545467</v>
      </c>
      <c r="N49" s="122">
        <f t="shared" si="12"/>
        <v>0.26338055724246368</v>
      </c>
      <c r="O49" s="122">
        <f t="shared" si="12"/>
        <v>0.26300117910041243</v>
      </c>
      <c r="P49" s="122">
        <f t="shared" si="12"/>
        <v>0.26261192620426516</v>
      </c>
      <c r="Q49" s="122">
        <f t="shared" si="12"/>
        <v>0.26221329913891278</v>
      </c>
    </row>
    <row r="50" spans="1:20" x14ac:dyDescent="0.2">
      <c r="I50" s="71"/>
    </row>
    <row r="51" spans="1:20" x14ac:dyDescent="0.2">
      <c r="B51" t="s">
        <v>63</v>
      </c>
      <c r="H51" s="99">
        <f>H32+H48</f>
        <v>2490.8264840000029</v>
      </c>
      <c r="I51" s="102">
        <f t="shared" ref="I51:Q51" si="13">I32+I48</f>
        <v>3086.3066500000014</v>
      </c>
      <c r="J51" s="99">
        <f t="shared" si="13"/>
        <v>3316.5682299999989</v>
      </c>
      <c r="K51" s="99">
        <f t="shared" si="13"/>
        <v>4462.5018868000052</v>
      </c>
      <c r="L51" s="99">
        <f t="shared" si="13"/>
        <v>5376.1724233359973</v>
      </c>
      <c r="M51" s="99">
        <f t="shared" si="13"/>
        <v>5490.418378084717</v>
      </c>
      <c r="N51" s="99">
        <f t="shared" si="13"/>
        <v>5608.291889522643</v>
      </c>
      <c r="O51" s="99">
        <f t="shared" si="13"/>
        <v>5727.8461483474675</v>
      </c>
      <c r="P51" s="99">
        <f t="shared" si="13"/>
        <v>5850.1354186643093</v>
      </c>
      <c r="Q51" s="99">
        <f t="shared" si="13"/>
        <v>5975.2150595977346</v>
      </c>
      <c r="S51" s="174">
        <f>+(I51/H51)^(1/(COLUMNS(H51:I51)-1))-1</f>
        <v>0.239069308851944</v>
      </c>
      <c r="T51" s="174">
        <f>+(Q51/J51)^(1/(COLUMNS(J51:Q51)-1))-1</f>
        <v>8.7736031734452213E-2</v>
      </c>
    </row>
    <row r="52" spans="1:20" x14ac:dyDescent="0.2">
      <c r="B52" s="91" t="s">
        <v>93</v>
      </c>
      <c r="H52" s="119">
        <f>H51/H20</f>
        <v>0.18364244871006227</v>
      </c>
      <c r="I52" s="120">
        <f t="shared" ref="I52:Q52" si="14">I51/I20</f>
        <v>0.1958868441490148</v>
      </c>
      <c r="J52" s="119">
        <f t="shared" si="14"/>
        <v>0.20247549104444476</v>
      </c>
      <c r="K52" s="119">
        <f t="shared" si="14"/>
        <v>0.25956901325841397</v>
      </c>
      <c r="L52" s="119">
        <f t="shared" si="14"/>
        <v>0.29295058756754849</v>
      </c>
      <c r="M52" s="119">
        <f t="shared" si="14"/>
        <v>0.2933097180173907</v>
      </c>
      <c r="N52" s="119">
        <f t="shared" si="14"/>
        <v>0.29373212682038174</v>
      </c>
      <c r="O52" s="119">
        <f t="shared" si="14"/>
        <v>0.29411150496243299</v>
      </c>
      <c r="P52" s="119">
        <f t="shared" si="14"/>
        <v>0.29450075785858032</v>
      </c>
      <c r="Q52" s="119">
        <f t="shared" si="14"/>
        <v>0.29489938492393269</v>
      </c>
    </row>
    <row r="53" spans="1:20" x14ac:dyDescent="0.2">
      <c r="B53" s="70"/>
      <c r="I53" s="71"/>
    </row>
    <row r="54" spans="1:20" x14ac:dyDescent="0.2">
      <c r="B54" s="179" t="s">
        <v>94</v>
      </c>
      <c r="C54" s="175"/>
      <c r="D54" s="175"/>
      <c r="E54" s="175"/>
      <c r="F54" s="175"/>
      <c r="G54" s="176"/>
      <c r="H54" s="176">
        <f>H51+H68</f>
        <v>3033.3647700000029</v>
      </c>
      <c r="I54" s="178">
        <f t="shared" ref="I54:Q54" si="15">I51+I68</f>
        <v>3700.7734350100013</v>
      </c>
      <c r="J54" s="176">
        <f t="shared" si="15"/>
        <v>3955.392021969999</v>
      </c>
      <c r="K54" s="176">
        <f t="shared" si="15"/>
        <v>5132.9885962900053</v>
      </c>
      <c r="L54" s="176">
        <f t="shared" si="15"/>
        <v>6091.8928670157975</v>
      </c>
      <c r="M54" s="176">
        <f t="shared" si="15"/>
        <v>6220.4532306381134</v>
      </c>
      <c r="N54" s="176">
        <f t="shared" si="15"/>
        <v>6352.9274391271074</v>
      </c>
      <c r="O54" s="176">
        <f t="shared" si="15"/>
        <v>6487.3744089440206</v>
      </c>
      <c r="P54" s="176">
        <f t="shared" si="15"/>
        <v>6624.8542444727937</v>
      </c>
      <c r="Q54" s="176">
        <f t="shared" si="15"/>
        <v>6765.4282619223886</v>
      </c>
      <c r="S54" s="174">
        <f>+(I54/H54)^(1/(COLUMNS(H54:I54)-1))-1</f>
        <v>0.22002255436295504</v>
      </c>
      <c r="T54" s="174">
        <f>+(Q54/J54)^(1/(COLUMNS(J54:Q54)-1))-1</f>
        <v>7.9694335422388018E-2</v>
      </c>
    </row>
    <row r="55" spans="1:20" x14ac:dyDescent="0.2">
      <c r="B55" s="91" t="s">
        <v>93</v>
      </c>
      <c r="G55" s="177"/>
      <c r="H55" s="119">
        <f t="shared" ref="H55:Q55" si="16">H54/H20</f>
        <v>0.22364244871006228</v>
      </c>
      <c r="I55" s="120">
        <f t="shared" si="16"/>
        <v>0.23488684414901478</v>
      </c>
      <c r="J55" s="119">
        <f t="shared" si="16"/>
        <v>0.24147549104444477</v>
      </c>
      <c r="K55" s="119">
        <f t="shared" si="16"/>
        <v>0.29856901325841401</v>
      </c>
      <c r="L55" s="119">
        <f t="shared" si="16"/>
        <v>0.33195058756754853</v>
      </c>
      <c r="M55" s="119">
        <f t="shared" si="16"/>
        <v>0.33230971801739073</v>
      </c>
      <c r="N55" s="119">
        <f t="shared" si="16"/>
        <v>0.33273212682038178</v>
      </c>
      <c r="O55" s="119">
        <f t="shared" si="16"/>
        <v>0.33311150496243297</v>
      </c>
      <c r="P55" s="119">
        <f t="shared" si="16"/>
        <v>0.3335007578585803</v>
      </c>
      <c r="Q55" s="119">
        <f t="shared" si="16"/>
        <v>0.33389938492393267</v>
      </c>
    </row>
    <row r="56" spans="1:20" x14ac:dyDescent="0.2">
      <c r="B56" s="92"/>
      <c r="H56" s="96"/>
      <c r="I56" s="93"/>
      <c r="J56" s="96"/>
      <c r="K56" s="96"/>
      <c r="L56" s="96"/>
      <c r="M56" s="96"/>
      <c r="N56" s="96"/>
      <c r="O56" s="96"/>
      <c r="P56" s="96"/>
      <c r="Q56" s="96"/>
    </row>
    <row r="57" spans="1:20" x14ac:dyDescent="0.2">
      <c r="B57" t="s">
        <v>95</v>
      </c>
      <c r="H57" s="99">
        <f>-H51*H58</f>
        <v>-660.0690182600008</v>
      </c>
      <c r="I57" s="102">
        <f t="shared" ref="I57:Q57" si="17">-I51*I58</f>
        <v>-817.87126225000043</v>
      </c>
      <c r="J57" s="99">
        <f t="shared" si="17"/>
        <v>-878.89058094999973</v>
      </c>
      <c r="K57" s="99">
        <f t="shared" si="17"/>
        <v>-1182.5630000020014</v>
      </c>
      <c r="L57" s="99">
        <f t="shared" si="17"/>
        <v>-1424.6856921840395</v>
      </c>
      <c r="M57" s="99">
        <f t="shared" si="17"/>
        <v>-1454.9608701924501</v>
      </c>
      <c r="N57" s="99">
        <f t="shared" si="17"/>
        <v>-1486.1973507235004</v>
      </c>
      <c r="O57" s="99">
        <f t="shared" si="17"/>
        <v>-1517.8792293120789</v>
      </c>
      <c r="P57" s="99">
        <f t="shared" si="17"/>
        <v>-1550.2858859460421</v>
      </c>
      <c r="Q57" s="99">
        <f t="shared" si="17"/>
        <v>-1583.4319907933998</v>
      </c>
      <c r="S57" s="114"/>
    </row>
    <row r="58" spans="1:20" x14ac:dyDescent="0.2">
      <c r="B58" s="91" t="s">
        <v>96</v>
      </c>
      <c r="H58" s="122">
        <f>$F$11</f>
        <v>0.26500000000000001</v>
      </c>
      <c r="I58" s="123">
        <f t="shared" ref="I58:Q58" si="18">$F$11</f>
        <v>0.26500000000000001</v>
      </c>
      <c r="J58" s="122">
        <f t="shared" si="18"/>
        <v>0.26500000000000001</v>
      </c>
      <c r="K58" s="122">
        <f t="shared" si="18"/>
        <v>0.26500000000000001</v>
      </c>
      <c r="L58" s="122">
        <f t="shared" si="18"/>
        <v>0.26500000000000001</v>
      </c>
      <c r="M58" s="122">
        <f t="shared" si="18"/>
        <v>0.26500000000000001</v>
      </c>
      <c r="N58" s="122">
        <f t="shared" si="18"/>
        <v>0.26500000000000001</v>
      </c>
      <c r="O58" s="122">
        <f t="shared" si="18"/>
        <v>0.26500000000000001</v>
      </c>
      <c r="P58" s="122">
        <f t="shared" si="18"/>
        <v>0.26500000000000001</v>
      </c>
      <c r="Q58" s="122">
        <f t="shared" si="18"/>
        <v>0.26500000000000001</v>
      </c>
    </row>
    <row r="59" spans="1:20" x14ac:dyDescent="0.2">
      <c r="I59" s="71"/>
    </row>
    <row r="60" spans="1:20" x14ac:dyDescent="0.2">
      <c r="B60" s="179" t="s">
        <v>97</v>
      </c>
      <c r="C60" s="175"/>
      <c r="D60" s="175"/>
      <c r="E60" s="175"/>
      <c r="F60" s="175"/>
      <c r="G60" s="176"/>
      <c r="H60" s="176">
        <f>H51+H57</f>
        <v>1830.7574657400021</v>
      </c>
      <c r="I60" s="178">
        <f t="shared" ref="I60:Q60" si="19">I51+I57</f>
        <v>2268.4353877500007</v>
      </c>
      <c r="J60" s="176">
        <f t="shared" si="19"/>
        <v>2437.6776490499992</v>
      </c>
      <c r="K60" s="176">
        <f t="shared" si="19"/>
        <v>3279.9388867980038</v>
      </c>
      <c r="L60" s="176">
        <f t="shared" si="19"/>
        <v>3951.4867311519579</v>
      </c>
      <c r="M60" s="176">
        <f t="shared" si="19"/>
        <v>4035.4575078922671</v>
      </c>
      <c r="N60" s="176">
        <f t="shared" si="19"/>
        <v>4122.0945387991424</v>
      </c>
      <c r="O60" s="176">
        <f t="shared" si="19"/>
        <v>4209.9669190353889</v>
      </c>
      <c r="P60" s="176">
        <f t="shared" si="19"/>
        <v>4299.8495327182673</v>
      </c>
      <c r="Q60" s="176">
        <f t="shared" si="19"/>
        <v>4391.783068804335</v>
      </c>
      <c r="S60" s="174">
        <f>+(I60/H60)^(1/(COLUMNS(H60:I60)-1))-1</f>
        <v>0.23906930885194377</v>
      </c>
      <c r="T60" s="174">
        <f>+(Q60/J60)^(1/(COLUMNS(J60:Q60)-1))-1</f>
        <v>8.7736031734452213E-2</v>
      </c>
    </row>
    <row r="61" spans="1:20" x14ac:dyDescent="0.2">
      <c r="B61" s="91" t="s">
        <v>98</v>
      </c>
      <c r="H61" s="119">
        <f>H60/H20</f>
        <v>0.13497719980189576</v>
      </c>
      <c r="I61" s="120">
        <f t="shared" ref="I61:Q61" si="20">I60/I20</f>
        <v>0.14397683044952586</v>
      </c>
      <c r="J61" s="119">
        <f t="shared" si="20"/>
        <v>0.14881948591766689</v>
      </c>
      <c r="K61" s="119">
        <f t="shared" si="20"/>
        <v>0.19078322474493428</v>
      </c>
      <c r="L61" s="119">
        <f t="shared" si="20"/>
        <v>0.21531868186214814</v>
      </c>
      <c r="M61" s="119">
        <f t="shared" si="20"/>
        <v>0.21558264274278216</v>
      </c>
      <c r="N61" s="119">
        <f t="shared" si="20"/>
        <v>0.21589311321298058</v>
      </c>
      <c r="O61" s="119">
        <f t="shared" si="20"/>
        <v>0.21617195614738824</v>
      </c>
      <c r="P61" s="119">
        <f t="shared" si="20"/>
        <v>0.21645805702605653</v>
      </c>
      <c r="Q61" s="119">
        <f t="shared" si="20"/>
        <v>0.21675104791909053</v>
      </c>
    </row>
    <row r="62" spans="1:20" x14ac:dyDescent="0.2">
      <c r="I62" s="71"/>
    </row>
    <row r="63" spans="1:20" x14ac:dyDescent="0.2">
      <c r="A63" t="s">
        <v>66</v>
      </c>
      <c r="B63" s="109" t="s">
        <v>99</v>
      </c>
      <c r="C63" s="110"/>
      <c r="D63" s="110"/>
      <c r="E63" s="110"/>
      <c r="F63" s="110"/>
      <c r="G63" s="110"/>
      <c r="H63" s="111">
        <v>2021</v>
      </c>
      <c r="I63" s="112">
        <f t="shared" ref="I63:Q63" si="21">H63+1</f>
        <v>2022</v>
      </c>
      <c r="J63" s="113">
        <f t="shared" si="21"/>
        <v>2023</v>
      </c>
      <c r="K63" s="113">
        <f t="shared" si="21"/>
        <v>2024</v>
      </c>
      <c r="L63" s="113">
        <f t="shared" si="21"/>
        <v>2025</v>
      </c>
      <c r="M63" s="113">
        <f t="shared" si="21"/>
        <v>2026</v>
      </c>
      <c r="N63" s="113">
        <f t="shared" si="21"/>
        <v>2027</v>
      </c>
      <c r="O63" s="113">
        <f t="shared" si="21"/>
        <v>2028</v>
      </c>
      <c r="P63" s="113">
        <f t="shared" si="21"/>
        <v>2029</v>
      </c>
      <c r="Q63" s="113">
        <f t="shared" si="21"/>
        <v>2030</v>
      </c>
    </row>
    <row r="64" spans="1:20" x14ac:dyDescent="0.2">
      <c r="B64" s="98"/>
      <c r="I64" s="71"/>
    </row>
    <row r="65" spans="1:20" x14ac:dyDescent="0.2">
      <c r="B65" t="s">
        <v>75</v>
      </c>
      <c r="H65" s="99">
        <f>I65</f>
        <v>-1000</v>
      </c>
      <c r="I65" s="102">
        <f>J65</f>
        <v>-1000</v>
      </c>
      <c r="J65" s="99">
        <f>-F9</f>
        <v>-1000</v>
      </c>
      <c r="K65" s="99">
        <f t="shared" ref="K65:Q65" si="22">J65</f>
        <v>-1000</v>
      </c>
      <c r="L65" s="99">
        <f t="shared" si="22"/>
        <v>-1000</v>
      </c>
      <c r="M65" s="99">
        <f t="shared" si="22"/>
        <v>-1000</v>
      </c>
      <c r="N65" s="99">
        <f t="shared" si="22"/>
        <v>-1000</v>
      </c>
      <c r="O65" s="99">
        <f t="shared" si="22"/>
        <v>-1000</v>
      </c>
      <c r="P65" s="99">
        <f t="shared" si="22"/>
        <v>-1000</v>
      </c>
      <c r="Q65" s="99">
        <f t="shared" si="22"/>
        <v>-1000</v>
      </c>
    </row>
    <row r="66" spans="1:20" x14ac:dyDescent="0.2">
      <c r="B66" s="91" t="s">
        <v>100</v>
      </c>
      <c r="H66" s="119">
        <f>-H65/H20</f>
        <v>7.3727515701997842E-2</v>
      </c>
      <c r="I66" s="120">
        <f t="shared" ref="I66:Q66" si="23">-I65/I20</f>
        <v>6.3469663375483029E-2</v>
      </c>
      <c r="J66" s="119">
        <f t="shared" si="23"/>
        <v>6.1049698665311292E-2</v>
      </c>
      <c r="K66" s="119">
        <f t="shared" si="23"/>
        <v>5.8166701066550613E-2</v>
      </c>
      <c r="L66" s="119">
        <f t="shared" si="23"/>
        <v>5.4490549130447749E-2</v>
      </c>
      <c r="M66" s="119">
        <f t="shared" si="23"/>
        <v>5.3422106990635043E-2</v>
      </c>
      <c r="N66" s="119">
        <f t="shared" si="23"/>
        <v>5.2374614696701023E-2</v>
      </c>
      <c r="O66" s="119">
        <f t="shared" si="23"/>
        <v>5.134766146735395E-2</v>
      </c>
      <c r="P66" s="119">
        <f t="shared" si="23"/>
        <v>5.0340844575837207E-2</v>
      </c>
      <c r="Q66" s="119">
        <f t="shared" si="23"/>
        <v>4.935376919199725E-2</v>
      </c>
    </row>
    <row r="67" spans="1:20" x14ac:dyDescent="0.2">
      <c r="H67" s="119"/>
      <c r="I67" s="120"/>
      <c r="J67" s="119"/>
      <c r="K67" s="119"/>
      <c r="L67" s="119"/>
      <c r="M67" s="119"/>
      <c r="N67" s="119"/>
      <c r="O67" s="119"/>
      <c r="P67" s="119"/>
      <c r="Q67" s="119"/>
    </row>
    <row r="68" spans="1:20" x14ac:dyDescent="0.2">
      <c r="B68" t="s">
        <v>101</v>
      </c>
      <c r="H68" s="99">
        <f t="shared" ref="H68:Q68" si="24">H69*H20</f>
        <v>542.53828600000008</v>
      </c>
      <c r="I68" s="102">
        <f t="shared" si="24"/>
        <v>614.46678500999997</v>
      </c>
      <c r="J68" s="99">
        <f t="shared" si="24"/>
        <v>638.82379196999989</v>
      </c>
      <c r="K68" s="99">
        <f t="shared" si="24"/>
        <v>670.48670949000007</v>
      </c>
      <c r="L68" s="99">
        <f t="shared" si="24"/>
        <v>715.72044367979993</v>
      </c>
      <c r="M68" s="99">
        <f t="shared" si="24"/>
        <v>730.03485255339604</v>
      </c>
      <c r="N68" s="99">
        <f t="shared" si="24"/>
        <v>744.63554960446402</v>
      </c>
      <c r="O68" s="99">
        <f t="shared" si="24"/>
        <v>759.5282605965532</v>
      </c>
      <c r="P68" s="99">
        <f t="shared" si="24"/>
        <v>774.71882580848421</v>
      </c>
      <c r="Q68" s="99">
        <f t="shared" si="24"/>
        <v>790.21320232465405</v>
      </c>
    </row>
    <row r="69" spans="1:20" x14ac:dyDescent="0.2">
      <c r="B69" s="91" t="s">
        <v>102</v>
      </c>
      <c r="D69" s="126"/>
      <c r="H69" s="119">
        <v>0.04</v>
      </c>
      <c r="I69" s="120">
        <v>3.9E-2</v>
      </c>
      <c r="J69" s="119">
        <f>I69</f>
        <v>3.9E-2</v>
      </c>
      <c r="K69" s="119">
        <f t="shared" ref="K69:Q69" si="25">J69</f>
        <v>3.9E-2</v>
      </c>
      <c r="L69" s="119">
        <f t="shared" si="25"/>
        <v>3.9E-2</v>
      </c>
      <c r="M69" s="119">
        <f t="shared" si="25"/>
        <v>3.9E-2</v>
      </c>
      <c r="N69" s="119">
        <f t="shared" si="25"/>
        <v>3.9E-2</v>
      </c>
      <c r="O69" s="119">
        <f t="shared" si="25"/>
        <v>3.9E-2</v>
      </c>
      <c r="P69" s="119">
        <f t="shared" si="25"/>
        <v>3.9E-2</v>
      </c>
      <c r="Q69" s="119">
        <f t="shared" si="25"/>
        <v>3.9E-2</v>
      </c>
    </row>
    <row r="70" spans="1:20" x14ac:dyDescent="0.2">
      <c r="B70" s="91" t="s">
        <v>103</v>
      </c>
      <c r="H70" s="119">
        <f>-H68/H65</f>
        <v>0.54253828600000009</v>
      </c>
      <c r="I70" s="120">
        <f t="shared" ref="I70:Q70" si="26">-I68/I65</f>
        <v>0.61446678500999996</v>
      </c>
      <c r="J70" s="119">
        <f t="shared" si="26"/>
        <v>0.63882379196999994</v>
      </c>
      <c r="K70" s="119">
        <f t="shared" si="26"/>
        <v>0.67048670949000011</v>
      </c>
      <c r="L70" s="119">
        <f t="shared" si="26"/>
        <v>0.71572044367979992</v>
      </c>
      <c r="M70" s="119">
        <f t="shared" si="26"/>
        <v>0.73003485255339606</v>
      </c>
      <c r="N70" s="119">
        <f t="shared" si="26"/>
        <v>0.74463554960446399</v>
      </c>
      <c r="O70" s="119">
        <f t="shared" si="26"/>
        <v>0.75952826059655321</v>
      </c>
      <c r="P70" s="119">
        <f t="shared" si="26"/>
        <v>0.77471882580848417</v>
      </c>
      <c r="Q70" s="119">
        <f t="shared" si="26"/>
        <v>0.79021320232465408</v>
      </c>
    </row>
    <row r="71" spans="1:20" x14ac:dyDescent="0.2">
      <c r="B71" s="98" t="s">
        <v>104</v>
      </c>
      <c r="I71" s="71"/>
    </row>
    <row r="72" spans="1:20" x14ac:dyDescent="0.2">
      <c r="A72" t="s">
        <v>66</v>
      </c>
      <c r="B72" s="109" t="s">
        <v>104</v>
      </c>
      <c r="C72" s="110"/>
      <c r="D72" s="110"/>
      <c r="E72" s="110"/>
      <c r="F72" s="110"/>
      <c r="G72" s="110"/>
      <c r="H72" s="111">
        <v>2021</v>
      </c>
      <c r="I72" s="112">
        <f t="shared" ref="I72:Q72" si="27">H72+1</f>
        <v>2022</v>
      </c>
      <c r="J72" s="113">
        <f t="shared" si="27"/>
        <v>2023</v>
      </c>
      <c r="K72" s="113">
        <f t="shared" si="27"/>
        <v>2024</v>
      </c>
      <c r="L72" s="113">
        <f t="shared" si="27"/>
        <v>2025</v>
      </c>
      <c r="M72" s="113">
        <f t="shared" si="27"/>
        <v>2026</v>
      </c>
      <c r="N72" s="113">
        <f t="shared" si="27"/>
        <v>2027</v>
      </c>
      <c r="O72" s="113">
        <f t="shared" si="27"/>
        <v>2028</v>
      </c>
      <c r="P72" s="113">
        <f t="shared" si="27"/>
        <v>2029</v>
      </c>
      <c r="Q72" s="113">
        <f t="shared" si="27"/>
        <v>2030</v>
      </c>
    </row>
    <row r="73" spans="1:20" x14ac:dyDescent="0.2">
      <c r="B73" s="98"/>
      <c r="I73" s="71"/>
    </row>
    <row r="74" spans="1:20" x14ac:dyDescent="0.2">
      <c r="B74" s="70" t="s">
        <v>97</v>
      </c>
      <c r="H74" s="124">
        <f t="shared" ref="H74:Q74" si="28">H60</f>
        <v>1830.7574657400021</v>
      </c>
      <c r="I74" s="125">
        <f t="shared" si="28"/>
        <v>2268.4353877500007</v>
      </c>
      <c r="J74" s="124">
        <f t="shared" si="28"/>
        <v>2437.6776490499992</v>
      </c>
      <c r="K74" s="124">
        <f t="shared" si="28"/>
        <v>3279.9388867980038</v>
      </c>
      <c r="L74" s="124">
        <f t="shared" si="28"/>
        <v>3951.4867311519579</v>
      </c>
      <c r="M74" s="124">
        <f t="shared" si="28"/>
        <v>4035.4575078922671</v>
      </c>
      <c r="N74" s="124">
        <f t="shared" si="28"/>
        <v>4122.0945387991424</v>
      </c>
      <c r="O74" s="124">
        <f t="shared" si="28"/>
        <v>4209.9669190353889</v>
      </c>
      <c r="P74" s="124">
        <f t="shared" si="28"/>
        <v>4299.8495327182673</v>
      </c>
      <c r="Q74" s="124">
        <f t="shared" si="28"/>
        <v>4391.783068804335</v>
      </c>
    </row>
    <row r="75" spans="1:20" x14ac:dyDescent="0.2">
      <c r="B75" s="92" t="s">
        <v>105</v>
      </c>
      <c r="H75" s="124">
        <f t="shared" ref="H75:Q75" si="29">H68</f>
        <v>542.53828600000008</v>
      </c>
      <c r="I75" s="125">
        <f t="shared" si="29"/>
        <v>614.46678500999997</v>
      </c>
      <c r="J75" s="124">
        <f t="shared" si="29"/>
        <v>638.82379196999989</v>
      </c>
      <c r="K75" s="124">
        <f t="shared" si="29"/>
        <v>670.48670949000007</v>
      </c>
      <c r="L75" s="124">
        <f t="shared" si="29"/>
        <v>715.72044367979993</v>
      </c>
      <c r="M75" s="124">
        <f t="shared" si="29"/>
        <v>730.03485255339604</v>
      </c>
      <c r="N75" s="124">
        <f t="shared" si="29"/>
        <v>744.63554960446402</v>
      </c>
      <c r="O75" s="124">
        <f t="shared" si="29"/>
        <v>759.5282605965532</v>
      </c>
      <c r="P75" s="124">
        <f t="shared" si="29"/>
        <v>774.71882580848421</v>
      </c>
      <c r="Q75" s="124">
        <f t="shared" si="29"/>
        <v>790.21320232465405</v>
      </c>
    </row>
    <row r="76" spans="1:20" x14ac:dyDescent="0.2">
      <c r="B76" s="92" t="s">
        <v>106</v>
      </c>
      <c r="H76" s="99">
        <f t="shared" ref="H76:Q76" si="30">H65</f>
        <v>-1000</v>
      </c>
      <c r="I76" s="102">
        <f t="shared" si="30"/>
        <v>-1000</v>
      </c>
      <c r="J76" s="99">
        <f t="shared" si="30"/>
        <v>-1000</v>
      </c>
      <c r="K76" s="99">
        <f t="shared" si="30"/>
        <v>-1000</v>
      </c>
      <c r="L76" s="99">
        <f t="shared" si="30"/>
        <v>-1000</v>
      </c>
      <c r="M76" s="99">
        <f t="shared" si="30"/>
        <v>-1000</v>
      </c>
      <c r="N76" s="99">
        <f t="shared" si="30"/>
        <v>-1000</v>
      </c>
      <c r="O76" s="99">
        <f t="shared" si="30"/>
        <v>-1000</v>
      </c>
      <c r="P76" s="99">
        <f t="shared" si="30"/>
        <v>-1000</v>
      </c>
      <c r="Q76" s="99">
        <f t="shared" si="30"/>
        <v>-1000</v>
      </c>
    </row>
    <row r="77" spans="1:20" x14ac:dyDescent="0.2">
      <c r="B77" s="92" t="s">
        <v>107</v>
      </c>
      <c r="H77" s="373"/>
      <c r="I77" s="374"/>
      <c r="J77" s="99">
        <f>-F10</f>
        <v>-100</v>
      </c>
      <c r="K77" s="99">
        <f t="shared" ref="K77:Q77" si="31">J77</f>
        <v>-100</v>
      </c>
      <c r="L77" s="99">
        <f t="shared" si="31"/>
        <v>-100</v>
      </c>
      <c r="M77" s="99">
        <f t="shared" si="31"/>
        <v>-100</v>
      </c>
      <c r="N77" s="99">
        <f t="shared" si="31"/>
        <v>-100</v>
      </c>
      <c r="O77" s="99">
        <f t="shared" si="31"/>
        <v>-100</v>
      </c>
      <c r="P77" s="99">
        <f t="shared" si="31"/>
        <v>-100</v>
      </c>
      <c r="Q77" s="99">
        <f t="shared" si="31"/>
        <v>-100</v>
      </c>
    </row>
    <row r="78" spans="1:20" x14ac:dyDescent="0.2">
      <c r="B78" s="181" t="s">
        <v>108</v>
      </c>
      <c r="C78" s="182"/>
      <c r="D78" s="182"/>
      <c r="E78" s="182"/>
      <c r="F78" s="182"/>
      <c r="G78" s="182"/>
      <c r="H78" s="182"/>
      <c r="I78" s="183"/>
      <c r="J78" s="184">
        <f>SUM(J74:J77)</f>
        <v>1976.5014410199992</v>
      </c>
      <c r="K78" s="184">
        <f t="shared" ref="K78:Q78" si="32">SUM(K74:K77)</f>
        <v>2850.4255962880038</v>
      </c>
      <c r="L78" s="184">
        <f t="shared" si="32"/>
        <v>3567.2071748317576</v>
      </c>
      <c r="M78" s="184">
        <f t="shared" si="32"/>
        <v>3665.4923604456635</v>
      </c>
      <c r="N78" s="184">
        <f t="shared" si="32"/>
        <v>3766.7300884036067</v>
      </c>
      <c r="O78" s="184">
        <f t="shared" si="32"/>
        <v>3869.4951796319419</v>
      </c>
      <c r="P78" s="184">
        <f t="shared" si="32"/>
        <v>3974.5683585267516</v>
      </c>
      <c r="Q78" s="184">
        <f t="shared" si="32"/>
        <v>4081.9962711289891</v>
      </c>
      <c r="T78" s="174">
        <f>+(Q78/J78)^(1/(COLUMNS(J78:Q78)-1))-1</f>
        <v>0.10916586485543167</v>
      </c>
    </row>
    <row r="79" spans="1:20" x14ac:dyDescent="0.2">
      <c r="B79" s="91" t="s">
        <v>92</v>
      </c>
      <c r="I79" s="71"/>
      <c r="J79" s="119">
        <f t="shared" ref="J79:Q79" si="33">J78/J20</f>
        <v>0.12066481738582449</v>
      </c>
      <c r="K79" s="119">
        <f t="shared" si="33"/>
        <v>0.16579985357172861</v>
      </c>
      <c r="L79" s="119">
        <f t="shared" si="33"/>
        <v>0.1943790778186556</v>
      </c>
      <c r="M79" s="119">
        <f t="shared" si="33"/>
        <v>0.19581832505308364</v>
      </c>
      <c r="N79" s="119">
        <f t="shared" si="33"/>
        <v>0.19728103704660949</v>
      </c>
      <c r="O79" s="119">
        <f t="shared" si="33"/>
        <v>0.19868952853329891</v>
      </c>
      <c r="P79" s="119">
        <f t="shared" si="33"/>
        <v>0.20008312799263561</v>
      </c>
      <c r="Q79" s="119">
        <f t="shared" si="33"/>
        <v>0.20146190180789356</v>
      </c>
    </row>
    <row r="80" spans="1:20" x14ac:dyDescent="0.2">
      <c r="B80" s="70"/>
      <c r="I80" s="71"/>
      <c r="J80" s="107"/>
      <c r="K80" s="107"/>
      <c r="L80" s="107"/>
      <c r="M80" s="107"/>
      <c r="N80" s="107"/>
      <c r="O80" s="107"/>
      <c r="P80" s="107"/>
      <c r="Q80" s="107"/>
    </row>
    <row r="81" spans="1:17" x14ac:dyDescent="0.2">
      <c r="B81" s="92" t="s">
        <v>109</v>
      </c>
      <c r="E81" s="189">
        <f>I9</f>
        <v>44781</v>
      </c>
      <c r="I81" s="71"/>
      <c r="J81" s="107"/>
      <c r="K81" s="107"/>
      <c r="L81" s="107"/>
      <c r="M81" s="107"/>
      <c r="N81" s="107"/>
      <c r="O81" s="107"/>
      <c r="P81" s="107"/>
      <c r="Q81" s="107"/>
    </row>
    <row r="82" spans="1:17" x14ac:dyDescent="0.2">
      <c r="B82" s="92" t="s">
        <v>110</v>
      </c>
      <c r="H82" s="108"/>
      <c r="I82" s="128"/>
      <c r="J82" s="108">
        <f>I11</f>
        <v>44926</v>
      </c>
      <c r="K82" s="108">
        <f t="shared" ref="K82:Q82" si="34">EOMONTH(J82,12)</f>
        <v>45291</v>
      </c>
      <c r="L82" s="108">
        <f t="shared" si="34"/>
        <v>45657</v>
      </c>
      <c r="M82" s="108">
        <f t="shared" si="34"/>
        <v>46022</v>
      </c>
      <c r="N82" s="108">
        <f t="shared" si="34"/>
        <v>46387</v>
      </c>
      <c r="O82" s="108">
        <f t="shared" si="34"/>
        <v>46752</v>
      </c>
      <c r="P82" s="108">
        <f t="shared" si="34"/>
        <v>47118</v>
      </c>
      <c r="Q82" s="108">
        <f t="shared" si="34"/>
        <v>47483</v>
      </c>
    </row>
    <row r="83" spans="1:17" x14ac:dyDescent="0.2">
      <c r="B83" s="92" t="s">
        <v>111</v>
      </c>
      <c r="I83" s="71"/>
      <c r="J83" s="106">
        <f>(J82-E81)/365</f>
        <v>0.39726027397260272</v>
      </c>
      <c r="K83" s="106">
        <f t="shared" ref="K83:Q83" si="35">J83+1</f>
        <v>1.3972602739726028</v>
      </c>
      <c r="L83" s="106">
        <f t="shared" si="35"/>
        <v>2.397260273972603</v>
      </c>
      <c r="M83" s="106">
        <f t="shared" si="35"/>
        <v>3.397260273972603</v>
      </c>
      <c r="N83" s="106">
        <f t="shared" si="35"/>
        <v>4.397260273972603</v>
      </c>
      <c r="O83" s="106">
        <f t="shared" si="35"/>
        <v>5.397260273972603</v>
      </c>
      <c r="P83" s="106">
        <f t="shared" si="35"/>
        <v>6.397260273972603</v>
      </c>
      <c r="Q83" s="106">
        <f t="shared" si="35"/>
        <v>7.397260273972603</v>
      </c>
    </row>
    <row r="84" spans="1:17" x14ac:dyDescent="0.2">
      <c r="B84" s="92" t="s">
        <v>112</v>
      </c>
      <c r="I84" s="71"/>
      <c r="J84" s="106">
        <f>J83/2</f>
        <v>0.19863013698630136</v>
      </c>
      <c r="K84" s="106">
        <f t="shared" ref="K84:Q84" si="36">K83-0.5</f>
        <v>0.89726027397260277</v>
      </c>
      <c r="L84" s="106">
        <f t="shared" si="36"/>
        <v>1.897260273972603</v>
      </c>
      <c r="M84" s="106">
        <f t="shared" si="36"/>
        <v>2.897260273972603</v>
      </c>
      <c r="N84" s="106">
        <f t="shared" si="36"/>
        <v>3.897260273972603</v>
      </c>
      <c r="O84" s="106">
        <f t="shared" si="36"/>
        <v>4.897260273972603</v>
      </c>
      <c r="P84" s="106">
        <f t="shared" si="36"/>
        <v>5.897260273972603</v>
      </c>
      <c r="Q84" s="106">
        <f t="shared" si="36"/>
        <v>6.897260273972603</v>
      </c>
    </row>
    <row r="85" spans="1:17" x14ac:dyDescent="0.2">
      <c r="B85" s="92" t="s">
        <v>8</v>
      </c>
      <c r="I85" s="71"/>
      <c r="J85" s="129">
        <f t="shared" ref="J85:Q85" si="37">$F$12</f>
        <v>0.20768485074759491</v>
      </c>
      <c r="K85" s="129">
        <f t="shared" si="37"/>
        <v>0.20768485074759491</v>
      </c>
      <c r="L85" s="129">
        <f t="shared" si="37"/>
        <v>0.20768485074759491</v>
      </c>
      <c r="M85" s="129">
        <f t="shared" si="37"/>
        <v>0.20768485074759491</v>
      </c>
      <c r="N85" s="129">
        <f t="shared" si="37"/>
        <v>0.20768485074759491</v>
      </c>
      <c r="O85" s="129">
        <f t="shared" si="37"/>
        <v>0.20768485074759491</v>
      </c>
      <c r="P85" s="129">
        <f t="shared" si="37"/>
        <v>0.20768485074759491</v>
      </c>
      <c r="Q85" s="129">
        <f t="shared" si="37"/>
        <v>0.20768485074759491</v>
      </c>
    </row>
    <row r="86" spans="1:17" x14ac:dyDescent="0.2">
      <c r="B86" s="92" t="s">
        <v>113</v>
      </c>
      <c r="I86" s="71"/>
      <c r="J86" s="96"/>
      <c r="K86" s="96"/>
      <c r="L86" s="96"/>
      <c r="M86" s="96"/>
      <c r="N86" s="96"/>
      <c r="O86" s="96"/>
      <c r="P86" s="96"/>
      <c r="Q86" s="96"/>
    </row>
    <row r="87" spans="1:17" x14ac:dyDescent="0.2">
      <c r="B87" s="181" t="s">
        <v>114</v>
      </c>
      <c r="C87" s="182"/>
      <c r="D87" s="182"/>
      <c r="E87" s="182"/>
      <c r="F87" s="182"/>
      <c r="G87" s="182"/>
      <c r="H87" s="182"/>
      <c r="I87" s="183"/>
      <c r="J87" s="184">
        <f t="shared" ref="J87:Q87" si="38">J78/(1+J85)^J84</f>
        <v>1903.7884024212906</v>
      </c>
      <c r="K87" s="184">
        <f t="shared" si="38"/>
        <v>2406.4452373355475</v>
      </c>
      <c r="L87" s="184">
        <f t="shared" si="38"/>
        <v>2493.6815272231024</v>
      </c>
      <c r="M87" s="184">
        <f t="shared" si="38"/>
        <v>2121.7360498807043</v>
      </c>
      <c r="N87" s="184">
        <f t="shared" si="38"/>
        <v>1805.385372436531</v>
      </c>
      <c r="O87" s="184">
        <f t="shared" si="38"/>
        <v>1535.699028983548</v>
      </c>
      <c r="P87" s="184">
        <f t="shared" si="38"/>
        <v>1306.1352548387281</v>
      </c>
      <c r="Q87" s="184">
        <f t="shared" si="38"/>
        <v>1110.7521595837798</v>
      </c>
    </row>
    <row r="88" spans="1:17" x14ac:dyDescent="0.2">
      <c r="I88" s="71"/>
      <c r="J88" s="107"/>
      <c r="K88" s="107"/>
      <c r="L88" s="107"/>
      <c r="M88" s="107"/>
      <c r="N88" s="107"/>
      <c r="O88" s="107"/>
      <c r="P88" s="107"/>
      <c r="Q88" s="107"/>
    </row>
    <row r="89" spans="1:17" x14ac:dyDescent="0.2">
      <c r="A89" t="s">
        <v>66</v>
      </c>
      <c r="B89" s="109" t="s">
        <v>233</v>
      </c>
      <c r="C89" s="110"/>
      <c r="D89" s="110"/>
      <c r="E89" s="110"/>
      <c r="F89" s="110"/>
      <c r="G89" s="110"/>
      <c r="H89" s="111">
        <v>2021</v>
      </c>
      <c r="I89" s="112">
        <f t="shared" ref="I89:Q89" si="39">H89+1</f>
        <v>2022</v>
      </c>
      <c r="J89" s="113">
        <f t="shared" si="39"/>
        <v>2023</v>
      </c>
      <c r="K89" s="113">
        <f t="shared" si="39"/>
        <v>2024</v>
      </c>
      <c r="L89" s="113">
        <f t="shared" si="39"/>
        <v>2025</v>
      </c>
      <c r="M89" s="113">
        <f t="shared" si="39"/>
        <v>2026</v>
      </c>
      <c r="N89" s="113">
        <f t="shared" si="39"/>
        <v>2027</v>
      </c>
      <c r="O89" s="113">
        <f t="shared" si="39"/>
        <v>2028</v>
      </c>
      <c r="P89" s="113">
        <f t="shared" si="39"/>
        <v>2029</v>
      </c>
      <c r="Q89" s="113">
        <f t="shared" si="39"/>
        <v>2030</v>
      </c>
    </row>
    <row r="90" spans="1:17" x14ac:dyDescent="0.2">
      <c r="I90" s="71"/>
      <c r="J90" s="107"/>
      <c r="K90" s="107"/>
      <c r="L90" s="107"/>
      <c r="M90" s="107"/>
      <c r="N90" s="107"/>
      <c r="O90" s="107"/>
      <c r="P90" s="107"/>
      <c r="Q90" s="107"/>
    </row>
    <row r="91" spans="1:17" x14ac:dyDescent="0.2">
      <c r="B91" s="70" t="s">
        <v>220</v>
      </c>
      <c r="I91" s="71"/>
      <c r="J91" s="107"/>
      <c r="K91" s="107"/>
      <c r="L91" s="107"/>
      <c r="M91" s="107"/>
      <c r="N91" s="107"/>
      <c r="O91" s="107"/>
      <c r="P91" s="107"/>
      <c r="Q91" s="107"/>
    </row>
    <row r="92" spans="1:17" x14ac:dyDescent="0.2">
      <c r="B92" s="196" t="s">
        <v>126</v>
      </c>
      <c r="I92" s="71"/>
      <c r="J92" s="107"/>
      <c r="K92" s="107"/>
      <c r="L92" s="107"/>
      <c r="M92" s="107"/>
      <c r="N92" s="107"/>
      <c r="O92" s="107"/>
      <c r="P92" s="107"/>
      <c r="Q92" s="124">
        <f>Q54*C16</f>
        <v>43975.283702495522</v>
      </c>
    </row>
    <row r="93" spans="1:17" x14ac:dyDescent="0.2">
      <c r="B93" s="196" t="s">
        <v>127</v>
      </c>
      <c r="I93" s="71"/>
      <c r="J93" s="107"/>
      <c r="K93" s="107"/>
      <c r="L93" s="107"/>
      <c r="M93" s="107"/>
      <c r="N93" s="107"/>
      <c r="O93" s="107"/>
      <c r="P93" s="107"/>
      <c r="Q93" s="124">
        <f>Q92/(1+Q85)^Q84</f>
        <v>11966.116109985247</v>
      </c>
    </row>
    <row r="94" spans="1:17" x14ac:dyDescent="0.2">
      <c r="B94" s="196" t="s">
        <v>128</v>
      </c>
      <c r="I94" s="71"/>
      <c r="J94" s="107"/>
      <c r="K94" s="107"/>
      <c r="L94" s="107"/>
      <c r="M94" s="107"/>
      <c r="N94" s="107"/>
      <c r="O94" s="107"/>
      <c r="P94" s="107"/>
      <c r="Q94" s="124">
        <f>Q93+SUM(J87:Q87)</f>
        <v>26649.739142688479</v>
      </c>
    </row>
    <row r="95" spans="1:17" x14ac:dyDescent="0.2">
      <c r="B95" s="92" t="s">
        <v>129</v>
      </c>
      <c r="I95" s="71"/>
      <c r="J95" s="107"/>
      <c r="K95" s="107"/>
      <c r="L95" s="107"/>
      <c r="M95" s="107"/>
      <c r="N95" s="107"/>
      <c r="O95" s="107"/>
      <c r="P95" s="107"/>
      <c r="Q95" s="103">
        <f>-F16</f>
        <v>-1500</v>
      </c>
    </row>
    <row r="96" spans="1:17" x14ac:dyDescent="0.2">
      <c r="B96" s="92" t="s">
        <v>130</v>
      </c>
      <c r="I96" s="71"/>
      <c r="J96" s="107"/>
      <c r="K96" s="107"/>
      <c r="L96" s="107"/>
      <c r="M96" s="107"/>
      <c r="N96" s="107"/>
      <c r="O96" s="107"/>
      <c r="P96" s="107"/>
      <c r="Q96" s="366">
        <v>0</v>
      </c>
    </row>
    <row r="97" spans="2:17" x14ac:dyDescent="0.2">
      <c r="B97" s="92" t="s">
        <v>131</v>
      </c>
      <c r="I97" s="71"/>
      <c r="J97" s="107"/>
      <c r="K97" s="107"/>
      <c r="L97" s="107"/>
      <c r="M97" s="107"/>
      <c r="N97" s="107"/>
      <c r="O97" s="107"/>
      <c r="P97" s="107"/>
      <c r="Q97" s="366">
        <v>0</v>
      </c>
    </row>
    <row r="98" spans="2:17" x14ac:dyDescent="0.2">
      <c r="B98" s="367" t="s">
        <v>132</v>
      </c>
      <c r="C98" s="88"/>
      <c r="D98" s="88"/>
      <c r="E98" s="88"/>
      <c r="F98" s="88"/>
      <c r="G98" s="88"/>
      <c r="H98" s="88"/>
      <c r="I98" s="127"/>
      <c r="J98" s="105"/>
      <c r="K98" s="105"/>
      <c r="L98" s="105"/>
      <c r="M98" s="105"/>
      <c r="N98" s="105"/>
      <c r="O98" s="105"/>
      <c r="P98" s="105"/>
      <c r="Q98" s="105">
        <f>SUM(Q94:Q97)</f>
        <v>25149.739142688479</v>
      </c>
    </row>
    <row r="99" spans="2:17" x14ac:dyDescent="0.2">
      <c r="B99" s="196" t="s">
        <v>217</v>
      </c>
      <c r="I99" s="71"/>
      <c r="J99" s="107"/>
      <c r="K99" s="107"/>
      <c r="L99" s="107"/>
      <c r="M99" s="107"/>
      <c r="N99" s="107"/>
      <c r="O99" s="107"/>
      <c r="P99" s="107"/>
      <c r="Q99" s="103">
        <f>C12</f>
        <v>10500</v>
      </c>
    </row>
    <row r="100" spans="2:17" x14ac:dyDescent="0.2">
      <c r="B100" s="91" t="s">
        <v>133</v>
      </c>
      <c r="I100" s="71"/>
      <c r="J100" s="107"/>
      <c r="K100" s="107"/>
      <c r="L100" s="107"/>
      <c r="M100" s="107"/>
      <c r="N100" s="107"/>
      <c r="O100" s="107"/>
      <c r="P100" s="107"/>
      <c r="Q100" s="96">
        <f>Q98/Q99 - 1</f>
        <v>1.3952132516846172</v>
      </c>
    </row>
    <row r="101" spans="2:17" x14ac:dyDescent="0.2">
      <c r="I101" s="71"/>
      <c r="J101" s="107"/>
      <c r="K101" s="107"/>
      <c r="L101" s="107"/>
      <c r="M101" s="107"/>
      <c r="N101" s="107"/>
      <c r="O101" s="107"/>
      <c r="P101" s="107"/>
      <c r="Q101" s="107"/>
    </row>
    <row r="102" spans="2:17" x14ac:dyDescent="0.2">
      <c r="B102" s="70" t="s">
        <v>219</v>
      </c>
      <c r="I102" s="71"/>
      <c r="J102" s="107"/>
      <c r="K102" s="107"/>
      <c r="L102" s="107"/>
      <c r="M102" s="107"/>
      <c r="N102" s="107"/>
      <c r="O102" s="107"/>
      <c r="P102" s="107"/>
      <c r="Q102" s="107"/>
    </row>
    <row r="103" spans="2:17" x14ac:dyDescent="0.2">
      <c r="B103" t="s">
        <v>135</v>
      </c>
      <c r="I103" s="71"/>
      <c r="J103" s="107"/>
      <c r="K103" s="107"/>
      <c r="L103" s="107"/>
      <c r="M103" s="107"/>
      <c r="N103" s="107"/>
      <c r="O103" s="107"/>
      <c r="P103" s="107"/>
      <c r="Q103" s="362">
        <v>0.03</v>
      </c>
    </row>
    <row r="104" spans="2:17" x14ac:dyDescent="0.2">
      <c r="B104" t="s">
        <v>136</v>
      </c>
      <c r="I104" s="71"/>
      <c r="J104" s="107"/>
      <c r="K104" s="107"/>
      <c r="L104" s="107"/>
      <c r="M104" s="107"/>
      <c r="N104" s="107"/>
      <c r="O104" s="107"/>
      <c r="P104" s="107"/>
      <c r="Q104" s="106">
        <f>Q78*(1+Q103)</f>
        <v>4204.4561592628588</v>
      </c>
    </row>
    <row r="105" spans="2:17" x14ac:dyDescent="0.2">
      <c r="B105" s="196" t="s">
        <v>126</v>
      </c>
      <c r="I105" s="71"/>
      <c r="J105" s="107"/>
      <c r="K105" s="107"/>
      <c r="L105" s="107"/>
      <c r="M105" s="107"/>
      <c r="N105" s="107"/>
      <c r="O105" s="107"/>
      <c r="P105" s="107"/>
      <c r="Q105" s="124">
        <f>Q104/(Q85-Q103)</f>
        <v>23662.434594581042</v>
      </c>
    </row>
    <row r="106" spans="2:17" x14ac:dyDescent="0.2">
      <c r="B106" s="196" t="s">
        <v>127</v>
      </c>
      <c r="I106" s="71"/>
      <c r="J106" s="107"/>
      <c r="K106" s="107"/>
      <c r="L106" s="107"/>
      <c r="M106" s="107"/>
      <c r="N106" s="107"/>
      <c r="O106" s="107"/>
      <c r="P106" s="107"/>
      <c r="Q106" s="124">
        <f>Q105/(1+Q85)^Q83</f>
        <v>5859.0496722241814</v>
      </c>
    </row>
    <row r="107" spans="2:17" x14ac:dyDescent="0.2">
      <c r="B107" s="196" t="s">
        <v>128</v>
      </c>
      <c r="I107" s="71"/>
      <c r="J107" s="107"/>
      <c r="K107" s="107"/>
      <c r="L107" s="107"/>
      <c r="M107" s="107"/>
      <c r="N107" s="107"/>
      <c r="O107" s="107"/>
      <c r="P107" s="107"/>
      <c r="Q107" s="124">
        <f>Q106+SUM(J87:Q87)</f>
        <v>20542.672704927412</v>
      </c>
    </row>
    <row r="108" spans="2:17" x14ac:dyDescent="0.2">
      <c r="B108" s="92" t="s">
        <v>129</v>
      </c>
      <c r="I108" s="71"/>
      <c r="J108" s="107"/>
      <c r="K108" s="107"/>
      <c r="L108" s="107"/>
      <c r="M108" s="107"/>
      <c r="N108" s="107"/>
      <c r="O108" s="107"/>
      <c r="P108" s="107"/>
      <c r="Q108" s="103">
        <f>-F16</f>
        <v>-1500</v>
      </c>
    </row>
    <row r="109" spans="2:17" x14ac:dyDescent="0.2">
      <c r="B109" s="92" t="s">
        <v>130</v>
      </c>
      <c r="I109" s="71"/>
      <c r="J109" s="107"/>
      <c r="K109" s="107"/>
      <c r="L109" s="107"/>
      <c r="M109" s="107"/>
      <c r="N109" s="107"/>
      <c r="O109" s="107"/>
      <c r="P109" s="107"/>
      <c r="Q109" s="366">
        <v>0</v>
      </c>
    </row>
    <row r="110" spans="2:17" x14ac:dyDescent="0.2">
      <c r="B110" s="92" t="s">
        <v>131</v>
      </c>
      <c r="I110" s="71"/>
      <c r="J110" s="107"/>
      <c r="K110" s="107"/>
      <c r="L110" s="107"/>
      <c r="M110" s="107"/>
      <c r="N110" s="107"/>
      <c r="O110" s="107"/>
      <c r="P110" s="107"/>
      <c r="Q110" s="366">
        <v>0</v>
      </c>
    </row>
    <row r="111" spans="2:17" x14ac:dyDescent="0.2">
      <c r="B111" s="367" t="s">
        <v>132</v>
      </c>
      <c r="C111" s="88"/>
      <c r="D111" s="88"/>
      <c r="E111" s="88"/>
      <c r="F111" s="88"/>
      <c r="G111" s="88"/>
      <c r="H111" s="88"/>
      <c r="I111" s="127"/>
      <c r="J111" s="105"/>
      <c r="K111" s="105"/>
      <c r="L111" s="105"/>
      <c r="M111" s="105"/>
      <c r="N111" s="105"/>
      <c r="O111" s="105"/>
      <c r="P111" s="105"/>
      <c r="Q111" s="105">
        <f>SUM(Q107:Q110)</f>
        <v>19042.672704927412</v>
      </c>
    </row>
    <row r="112" spans="2:17" x14ac:dyDescent="0.2">
      <c r="B112" s="196" t="s">
        <v>217</v>
      </c>
      <c r="I112" s="71"/>
      <c r="J112" s="107"/>
      <c r="K112" s="107"/>
      <c r="L112" s="107"/>
      <c r="M112" s="107"/>
      <c r="N112" s="107"/>
      <c r="O112" s="107"/>
      <c r="P112" s="107"/>
      <c r="Q112" s="103">
        <f>C12</f>
        <v>10500</v>
      </c>
    </row>
    <row r="113" spans="1:17" ht="16" thickBot="1" x14ac:dyDescent="0.25">
      <c r="B113" s="368" t="s">
        <v>133</v>
      </c>
      <c r="C113" s="369"/>
      <c r="D113" s="369"/>
      <c r="E113" s="369"/>
      <c r="F113" s="369"/>
      <c r="G113" s="369"/>
      <c r="H113" s="369"/>
      <c r="I113" s="370"/>
      <c r="J113" s="371"/>
      <c r="K113" s="371"/>
      <c r="L113" s="371"/>
      <c r="M113" s="371"/>
      <c r="N113" s="371"/>
      <c r="O113" s="371"/>
      <c r="P113" s="371"/>
      <c r="Q113" s="372">
        <f>Q111/Q112 - 1</f>
        <v>0.81358787665975352</v>
      </c>
    </row>
    <row r="114" spans="1:17" x14ac:dyDescent="0.2">
      <c r="B114" s="91"/>
      <c r="I114" s="71"/>
      <c r="J114" s="107"/>
      <c r="K114" s="107"/>
      <c r="L114" s="107"/>
      <c r="M114" s="107"/>
      <c r="N114" s="107"/>
      <c r="O114" s="107"/>
      <c r="P114" s="107"/>
      <c r="Q114" s="96"/>
    </row>
    <row r="115" spans="1:17" x14ac:dyDescent="0.2">
      <c r="A115" t="s">
        <v>66</v>
      </c>
      <c r="B115" s="109" t="s">
        <v>234</v>
      </c>
      <c r="C115" s="110"/>
      <c r="D115" s="110"/>
      <c r="E115" s="110"/>
      <c r="F115" s="110"/>
      <c r="G115" s="110"/>
      <c r="H115" s="110"/>
      <c r="I115" s="135"/>
      <c r="J115" s="110"/>
      <c r="K115" s="110"/>
      <c r="L115" s="110"/>
      <c r="M115" s="110"/>
      <c r="N115" s="110"/>
      <c r="O115" s="110"/>
      <c r="P115" s="110"/>
      <c r="Q115" s="110"/>
    </row>
    <row r="116" spans="1:17" x14ac:dyDescent="0.2"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</row>
    <row r="117" spans="1:17" x14ac:dyDescent="0.2">
      <c r="B117" s="110"/>
      <c r="C117" s="151" t="s">
        <v>115</v>
      </c>
      <c r="D117" s="150"/>
      <c r="E117" s="150"/>
      <c r="F117" s="150"/>
      <c r="G117" s="150"/>
      <c r="H117" s="152"/>
    </row>
    <row r="118" spans="1:17" x14ac:dyDescent="0.2">
      <c r="B118" s="110"/>
      <c r="C118" s="138"/>
      <c r="D118" s="139" t="s">
        <v>75</v>
      </c>
      <c r="E118" s="139"/>
      <c r="F118" s="139"/>
      <c r="G118" s="139"/>
      <c r="H118" s="139"/>
    </row>
    <row r="119" spans="1:17" x14ac:dyDescent="0.2">
      <c r="B119" s="110"/>
      <c r="C119" s="140">
        <f>'Ouputs - Base'!$D$35</f>
        <v>26649.739142688479</v>
      </c>
      <c r="D119" s="141">
        <v>800</v>
      </c>
      <c r="E119" s="141">
        <v>900</v>
      </c>
      <c r="F119" s="142">
        <v>1000</v>
      </c>
      <c r="G119" s="141">
        <v>1100</v>
      </c>
      <c r="H119" s="141">
        <v>1200</v>
      </c>
    </row>
    <row r="120" spans="1:17" x14ac:dyDescent="0.2">
      <c r="B120" s="110"/>
      <c r="C120" s="143">
        <f>+C121-0.005</f>
        <v>2.9000000000000001E-2</v>
      </c>
      <c r="D120" s="144">
        <f t="dataTable" ref="D120:H124" dt2D="1" dtr="1" r1="F9" r2="K69"/>
        <v>26532.812561200524</v>
      </c>
      <c r="E120" s="145">
        <v>26076.587170570157</v>
      </c>
      <c r="F120" s="145">
        <v>25620.361779939791</v>
      </c>
      <c r="G120" s="145">
        <v>25164.136389309431</v>
      </c>
      <c r="H120" s="145">
        <v>24707.910998679065</v>
      </c>
    </row>
    <row r="121" spans="1:17" x14ac:dyDescent="0.2">
      <c r="B121" s="136" t="s">
        <v>210</v>
      </c>
      <c r="C121" s="143">
        <f>+C122-0.005</f>
        <v>3.4000000000000002E-2</v>
      </c>
      <c r="D121" s="144">
        <v>27047.501242574868</v>
      </c>
      <c r="E121" s="146">
        <v>26591.275851944501</v>
      </c>
      <c r="F121" s="146">
        <v>26135.050461314135</v>
      </c>
      <c r="G121" s="146">
        <v>25678.825070683772</v>
      </c>
      <c r="H121" s="145">
        <v>25222.599680053405</v>
      </c>
    </row>
    <row r="122" spans="1:17" x14ac:dyDescent="0.2">
      <c r="B122" s="149" t="s">
        <v>211</v>
      </c>
      <c r="C122" s="147">
        <v>3.9E-2</v>
      </c>
      <c r="D122" s="144">
        <v>27562.189923949212</v>
      </c>
      <c r="E122" s="146">
        <v>27105.964533318845</v>
      </c>
      <c r="F122" s="148">
        <v>26649.739142688479</v>
      </c>
      <c r="G122" s="146">
        <v>26193.513752058116</v>
      </c>
      <c r="H122" s="145">
        <v>25737.288361427745</v>
      </c>
    </row>
    <row r="123" spans="1:17" x14ac:dyDescent="0.2">
      <c r="B123" s="110"/>
      <c r="C123" s="143">
        <f>+C122+0.005</f>
        <v>4.3999999999999997E-2</v>
      </c>
      <c r="D123" s="144">
        <v>28076.878605323553</v>
      </c>
      <c r="E123" s="146">
        <v>27620.653214693186</v>
      </c>
      <c r="F123" s="146">
        <v>27164.427824062819</v>
      </c>
      <c r="G123" s="146">
        <v>26708.202433432452</v>
      </c>
      <c r="H123" s="145">
        <v>26251.977042802089</v>
      </c>
    </row>
    <row r="124" spans="1:17" x14ac:dyDescent="0.2">
      <c r="B124" s="110"/>
      <c r="C124" s="143">
        <f>+C123+0.005</f>
        <v>4.8999999999999995E-2</v>
      </c>
      <c r="D124" s="144">
        <v>28591.5672866979</v>
      </c>
      <c r="E124" s="145">
        <v>28135.34189606753</v>
      </c>
      <c r="F124" s="145">
        <v>27679.116505437167</v>
      </c>
      <c r="G124" s="145">
        <v>27222.8911148068</v>
      </c>
      <c r="H124" s="145">
        <v>26766.665724176433</v>
      </c>
    </row>
    <row r="125" spans="1:17" ht="16" thickBot="1" x14ac:dyDescent="0.25"/>
    <row r="126" spans="1:17" x14ac:dyDescent="0.2">
      <c r="B126" s="247" t="s">
        <v>151</v>
      </c>
      <c r="C126" s="248">
        <f>MIN(D120:H124)</f>
        <v>24707.910998679065</v>
      </c>
    </row>
    <row r="127" spans="1:17" x14ac:dyDescent="0.2">
      <c r="B127" s="249" t="s">
        <v>214</v>
      </c>
      <c r="C127" s="250">
        <f>PERCENTILE(D120:H124, 0.25)</f>
        <v>26076.587170570157</v>
      </c>
    </row>
    <row r="128" spans="1:17" x14ac:dyDescent="0.2">
      <c r="B128" s="249" t="s">
        <v>155</v>
      </c>
      <c r="C128" s="250">
        <f>MEDIAN(D120:H124)</f>
        <v>26649.739142688479</v>
      </c>
    </row>
    <row r="129" spans="2:3" x14ac:dyDescent="0.2">
      <c r="B129" s="249" t="s">
        <v>215</v>
      </c>
      <c r="C129" s="250">
        <f>PERCENTILE(D120:H124, 0.75)</f>
        <v>27222.8911148068</v>
      </c>
    </row>
    <row r="130" spans="2:3" ht="16" thickBot="1" x14ac:dyDescent="0.25">
      <c r="B130" s="251" t="s">
        <v>158</v>
      </c>
      <c r="C130" s="252">
        <f>MAX(D120:H124)</f>
        <v>28591.5672866979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1E4E-7C75-43A8-809C-1F35AF71F8C2}">
  <sheetPr>
    <tabColor theme="2"/>
  </sheetPr>
  <dimension ref="A2:T114"/>
  <sheetViews>
    <sheetView showGridLines="0" zoomScaleNormal="100" workbookViewId="0">
      <selection activeCell="H16" sqref="H16"/>
    </sheetView>
  </sheetViews>
  <sheetFormatPr baseColWidth="10" defaultColWidth="17.6640625" defaultRowHeight="15" x14ac:dyDescent="0.2"/>
  <sheetData>
    <row r="2" spans="1:17" ht="19" x14ac:dyDescent="0.25">
      <c r="A2" t="s">
        <v>66</v>
      </c>
      <c r="B2" s="65" t="s">
        <v>67</v>
      </c>
      <c r="C2" s="66"/>
      <c r="D2" s="67"/>
      <c r="E2" s="67"/>
      <c r="F2" s="67"/>
      <c r="G2" s="67"/>
      <c r="H2" s="67"/>
      <c r="I2" s="67"/>
    </row>
    <row r="3" spans="1:17" ht="16" thickBot="1" x14ac:dyDescent="0.25">
      <c r="B3" s="194" t="s">
        <v>68</v>
      </c>
      <c r="C3" s="68"/>
      <c r="D3" s="68"/>
      <c r="E3" s="68"/>
      <c r="F3" s="68"/>
      <c r="G3" s="68"/>
      <c r="H3" s="68"/>
      <c r="I3" s="334"/>
      <c r="J3" s="334"/>
      <c r="K3" s="334"/>
      <c r="L3" s="334"/>
      <c r="M3" s="334"/>
      <c r="N3" s="334"/>
      <c r="O3" s="334"/>
      <c r="P3" s="334"/>
      <c r="Q3" s="334"/>
    </row>
    <row r="4" spans="1:17" ht="16" thickTop="1" x14ac:dyDescent="0.2">
      <c r="B4" s="19" t="s">
        <v>69</v>
      </c>
      <c r="C4" s="67"/>
      <c r="D4" s="67"/>
      <c r="E4" s="67"/>
      <c r="F4" s="67"/>
      <c r="G4" s="67"/>
      <c r="H4" s="67"/>
      <c r="I4" s="67"/>
    </row>
    <row r="6" spans="1:17" x14ac:dyDescent="0.2">
      <c r="A6" t="s">
        <v>66</v>
      </c>
      <c r="B6" s="109" t="s">
        <v>70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8" spans="1:17" x14ac:dyDescent="0.2">
      <c r="B8" s="70" t="s">
        <v>71</v>
      </c>
      <c r="E8" s="70" t="s">
        <v>72</v>
      </c>
      <c r="H8" s="70" t="s">
        <v>73</v>
      </c>
    </row>
    <row r="9" spans="1:17" x14ac:dyDescent="0.2">
      <c r="B9" t="s">
        <v>74</v>
      </c>
      <c r="C9" s="375">
        <v>12000</v>
      </c>
      <c r="E9" t="s">
        <v>75</v>
      </c>
      <c r="F9" s="375">
        <v>1000</v>
      </c>
      <c r="H9" t="s">
        <v>76</v>
      </c>
      <c r="I9" s="377">
        <v>44781</v>
      </c>
    </row>
    <row r="10" spans="1:17" x14ac:dyDescent="0.2">
      <c r="B10" t="s">
        <v>77</v>
      </c>
      <c r="C10" s="380">
        <f>C9/I54</f>
        <v>3.24256542875005</v>
      </c>
      <c r="E10" t="s">
        <v>78</v>
      </c>
      <c r="F10" s="375">
        <v>100</v>
      </c>
      <c r="H10" t="s">
        <v>79</v>
      </c>
      <c r="I10" s="377">
        <v>45223</v>
      </c>
    </row>
    <row r="11" spans="1:17" x14ac:dyDescent="0.2">
      <c r="B11" t="s">
        <v>80</v>
      </c>
      <c r="C11" s="375">
        <v>250</v>
      </c>
      <c r="E11" t="s">
        <v>81</v>
      </c>
      <c r="F11" s="378">
        <v>0.26500000000000001</v>
      </c>
      <c r="H11" t="s">
        <v>82</v>
      </c>
      <c r="I11" s="377">
        <v>44926</v>
      </c>
    </row>
    <row r="12" spans="1:17" x14ac:dyDescent="0.2">
      <c r="B12" t="s">
        <v>83</v>
      </c>
      <c r="C12" s="99">
        <f>C9-F16</f>
        <v>10500</v>
      </c>
      <c r="E12" t="s">
        <v>84</v>
      </c>
      <c r="F12" s="130">
        <f>'DCF Model - Base (1)'!F12-0.01</f>
        <v>0.1976848507475949</v>
      </c>
      <c r="G12" s="137"/>
      <c r="I12" s="379"/>
    </row>
    <row r="13" spans="1:17" x14ac:dyDescent="0.2">
      <c r="C13" s="99"/>
      <c r="E13" t="s">
        <v>85</v>
      </c>
      <c r="F13" s="130">
        <v>3.9E-2</v>
      </c>
      <c r="I13" s="379"/>
    </row>
    <row r="15" spans="1:17" x14ac:dyDescent="0.2">
      <c r="B15" s="70" t="s">
        <v>86</v>
      </c>
      <c r="E15" s="70" t="s">
        <v>87</v>
      </c>
    </row>
    <row r="16" spans="1:17" x14ac:dyDescent="0.2">
      <c r="B16" t="s">
        <v>88</v>
      </c>
      <c r="C16" s="376">
        <v>6.5</v>
      </c>
      <c r="E16" t="s">
        <v>57</v>
      </c>
      <c r="F16" s="375">
        <v>1500</v>
      </c>
    </row>
    <row r="18" spans="1:20" x14ac:dyDescent="0.2">
      <c r="A18" t="s">
        <v>66</v>
      </c>
      <c r="B18" s="109" t="s">
        <v>89</v>
      </c>
      <c r="C18" s="110"/>
      <c r="D18" s="110"/>
      <c r="E18" s="110"/>
      <c r="F18" s="110"/>
      <c r="G18" s="110"/>
      <c r="H18" s="111">
        <v>2021</v>
      </c>
      <c r="I18" s="112">
        <f>H18+1</f>
        <v>2022</v>
      </c>
      <c r="J18" s="113">
        <f t="shared" ref="J18:Q18" si="0">I18+1</f>
        <v>2023</v>
      </c>
      <c r="K18" s="113">
        <f t="shared" si="0"/>
        <v>2024</v>
      </c>
      <c r="L18" s="113">
        <f t="shared" si="0"/>
        <v>2025</v>
      </c>
      <c r="M18" s="113">
        <f t="shared" si="0"/>
        <v>2026</v>
      </c>
      <c r="N18" s="113">
        <f t="shared" si="0"/>
        <v>2027</v>
      </c>
      <c r="O18" s="113">
        <f t="shared" si="0"/>
        <v>2028</v>
      </c>
      <c r="P18" s="113">
        <f t="shared" si="0"/>
        <v>2029</v>
      </c>
      <c r="Q18" s="113">
        <f t="shared" si="0"/>
        <v>2030</v>
      </c>
      <c r="S18" s="358" t="s">
        <v>212</v>
      </c>
      <c r="T18" s="358" t="s">
        <v>213</v>
      </c>
    </row>
    <row r="19" spans="1:20" ht="15" customHeight="1" x14ac:dyDescent="0.2">
      <c r="B19" s="70"/>
      <c r="I19" s="71"/>
    </row>
    <row r="20" spans="1:20" x14ac:dyDescent="0.2">
      <c r="B20" s="179" t="s">
        <v>31</v>
      </c>
      <c r="C20" s="175"/>
      <c r="D20" s="175"/>
      <c r="E20" s="175"/>
      <c r="F20" s="175"/>
      <c r="G20" s="176"/>
      <c r="H20" s="253">
        <f>'Original &amp; Adjusted Data'!V12</f>
        <v>13563.457150000002</v>
      </c>
      <c r="I20" s="254">
        <f>'Original &amp; Adjusted Data'!W12</f>
        <v>15755.558590000001</v>
      </c>
      <c r="J20" s="253">
        <f>'Original &amp; Adjusted Data'!X12</f>
        <v>16380.097229999998</v>
      </c>
      <c r="K20" s="253">
        <f>'Original &amp; Adjusted Data'!Y12</f>
        <v>17191.966910000003</v>
      </c>
      <c r="L20" s="253">
        <f>'Original &amp; Adjusted Data'!Z12</f>
        <v>18351.806248199999</v>
      </c>
      <c r="M20" s="253">
        <f>'Original &amp; Adjusted Data'!AA12</f>
        <v>18718.842373164</v>
      </c>
      <c r="N20" s="253">
        <f>'Original &amp; Adjusted Data'!AB12</f>
        <v>19093.219220627281</v>
      </c>
      <c r="O20" s="253">
        <f>'Original &amp; Adjusted Data'!AC12</f>
        <v>19475.083605039825</v>
      </c>
      <c r="P20" s="253">
        <f>'Original &amp; Adjusted Data'!AD12</f>
        <v>19864.585277140621</v>
      </c>
      <c r="Q20" s="253">
        <f>'Original &amp; Adjusted Data'!AE12</f>
        <v>20261.876982683436</v>
      </c>
      <c r="S20" s="174">
        <f>+(I20/H20)^(1/(COLUMNS(H20:I20)-1))-1</f>
        <v>0.16161819333797189</v>
      </c>
      <c r="T20" s="174">
        <f>+(Q20/J20)^(1/(COLUMNS(J20:Q20)-1))-1</f>
        <v>3.0848261183691772E-2</v>
      </c>
    </row>
    <row r="21" spans="1:20" x14ac:dyDescent="0.2">
      <c r="B21" s="91" t="s">
        <v>90</v>
      </c>
      <c r="I21" s="120">
        <f>I20/H20 - 1</f>
        <v>0.16161819333797189</v>
      </c>
      <c r="J21" s="119">
        <f t="shared" ref="J21:Q21" si="1">J20/I20 - 1</f>
        <v>3.9639257245781767E-2</v>
      </c>
      <c r="K21" s="119">
        <f t="shared" si="1"/>
        <v>4.9564399319502961E-2</v>
      </c>
      <c r="L21" s="119">
        <f t="shared" si="1"/>
        <v>6.746402807030516E-2</v>
      </c>
      <c r="M21" s="119">
        <f t="shared" si="1"/>
        <v>2.0000000000000018E-2</v>
      </c>
      <c r="N21" s="119">
        <f t="shared" si="1"/>
        <v>2.0000000000000018E-2</v>
      </c>
      <c r="O21" s="119">
        <f t="shared" si="1"/>
        <v>1.9999999999999796E-2</v>
      </c>
      <c r="P21" s="119">
        <f t="shared" si="1"/>
        <v>2.0000000000000018E-2</v>
      </c>
      <c r="Q21" s="119">
        <f t="shared" si="1"/>
        <v>2.000000000000024E-2</v>
      </c>
    </row>
    <row r="22" spans="1:20" x14ac:dyDescent="0.2">
      <c r="B22" s="90"/>
      <c r="I22" s="71"/>
    </row>
    <row r="23" spans="1:20" x14ac:dyDescent="0.2">
      <c r="B23" s="70" t="s">
        <v>91</v>
      </c>
      <c r="I23" s="71"/>
    </row>
    <row r="24" spans="1:20" x14ac:dyDescent="0.2">
      <c r="B24" t="s">
        <v>36</v>
      </c>
      <c r="C24" s="180"/>
      <c r="D24" s="180"/>
      <c r="E24" s="180"/>
      <c r="G24" s="180"/>
      <c r="H24" s="103">
        <f>'Original &amp; Adjusted Data'!V16</f>
        <v>4886.8441399999992</v>
      </c>
      <c r="I24" s="104">
        <f>'Original &amp; Adjusted Data'!W16</f>
        <v>5278.8393300000007</v>
      </c>
      <c r="J24" s="103">
        <f>'Original &amp; Adjusted Data'!X16</f>
        <v>5386.6709599999995</v>
      </c>
      <c r="K24" s="103">
        <f>'Original &amp; Adjusted Data'!Y16</f>
        <v>5052.2209631999986</v>
      </c>
      <c r="L24" s="103">
        <f>'Original &amp; Adjusted Data'!Z16</f>
        <v>5153.2653824640001</v>
      </c>
      <c r="M24" s="103">
        <f>'Original &amp; Adjusted Data'!AA16</f>
        <v>5256.330690113281</v>
      </c>
      <c r="N24" s="103">
        <f>'Original &amp; Adjusted Data'!AB16</f>
        <v>5361.4573039155466</v>
      </c>
      <c r="O24" s="103">
        <f>'Original &amp; Adjusted Data'!AC16</f>
        <v>5468.6864499938574</v>
      </c>
      <c r="P24" s="103">
        <f>'Original &amp; Adjusted Data'!AD16</f>
        <v>5578.0601789937318</v>
      </c>
      <c r="Q24" s="103">
        <f>'Original &amp; Adjusted Data'!AE16</f>
        <v>5689.6213825736086</v>
      </c>
      <c r="S24" s="174">
        <f>+(I24/H24)^(1/(COLUMNS(H24:I24)-1))-1</f>
        <v>8.0214383510091247E-2</v>
      </c>
      <c r="T24" s="174">
        <f>+(Q24/J24)^(1/(COLUMNS(J24:Q24)-1))-1</f>
        <v>7.8472212543945208E-3</v>
      </c>
    </row>
    <row r="25" spans="1:20" x14ac:dyDescent="0.2">
      <c r="B25" s="91" t="s">
        <v>92</v>
      </c>
      <c r="H25" s="119">
        <f>H24/H20</f>
        <v>0.36029487806506605</v>
      </c>
      <c r="I25" s="120">
        <f t="shared" ref="I25:Q25" si="2">I24/I20</f>
        <v>0.3350461552883604</v>
      </c>
      <c r="J25" s="119">
        <f t="shared" si="2"/>
        <v>0.32885463891718303</v>
      </c>
      <c r="K25" s="119">
        <f t="shared" si="2"/>
        <v>0.29387102648861474</v>
      </c>
      <c r="L25" s="119">
        <f t="shared" si="2"/>
        <v>0.2808042605053902</v>
      </c>
      <c r="M25" s="119">
        <f t="shared" si="2"/>
        <v>0.28080426050539026</v>
      </c>
      <c r="N25" s="119">
        <f t="shared" si="2"/>
        <v>0.2808042605053902</v>
      </c>
      <c r="O25" s="119">
        <f t="shared" si="2"/>
        <v>0.28080426050539026</v>
      </c>
      <c r="P25" s="119">
        <f t="shared" si="2"/>
        <v>0.28080426050539009</v>
      </c>
      <c r="Q25" s="119">
        <f t="shared" si="2"/>
        <v>0.28080426050539015</v>
      </c>
    </row>
    <row r="26" spans="1:20" x14ac:dyDescent="0.2">
      <c r="I26" s="71"/>
    </row>
    <row r="27" spans="1:20" x14ac:dyDescent="0.2">
      <c r="B27" t="s">
        <v>37</v>
      </c>
      <c r="H27" s="103">
        <f>'Original &amp; Adjusted Data'!V17</f>
        <v>1877.89807</v>
      </c>
      <c r="I27" s="104">
        <f>'Original &amp; Adjusted Data'!W17</f>
        <v>2622.0151499999997</v>
      </c>
      <c r="J27" s="103">
        <f>'Original &amp; Adjusted Data'!X17</f>
        <v>2916.1929700000005</v>
      </c>
      <c r="K27" s="103">
        <f>'Original &amp; Adjusted Data'!Y17</f>
        <v>2916.1929700000005</v>
      </c>
      <c r="L27" s="103">
        <f>'Original &amp; Adjusted Data'!Z17</f>
        <v>2974.5168294000009</v>
      </c>
      <c r="M27" s="103">
        <f>'Original &amp; Adjusted Data'!AA17</f>
        <v>3034.007165988</v>
      </c>
      <c r="N27" s="103">
        <f>'Original &amp; Adjusted Data'!AB17</f>
        <v>3094.6873093077611</v>
      </c>
      <c r="O27" s="103">
        <f>'Original &amp; Adjusted Data'!AC17</f>
        <v>3156.5810554939158</v>
      </c>
      <c r="P27" s="103">
        <f>'Original &amp; Adjusted Data'!AD17</f>
        <v>3219.7126766037941</v>
      </c>
      <c r="Q27" s="103">
        <f>'Original &amp; Adjusted Data'!AE17</f>
        <v>3284.1069301358698</v>
      </c>
      <c r="S27" s="174">
        <f>+(I27/H27)^(1/(COLUMNS(H27:I27)-1))-1</f>
        <v>0.39624998389822075</v>
      </c>
      <c r="T27" s="174">
        <f>+(Q27/J27)^(1/(COLUMNS(J27:Q27)-1))-1</f>
        <v>1.7118551961483375E-2</v>
      </c>
    </row>
    <row r="28" spans="1:20" x14ac:dyDescent="0.2">
      <c r="B28" s="91" t="s">
        <v>92</v>
      </c>
      <c r="H28" s="119">
        <f t="shared" ref="H28:Q28" si="3">H27/H20</f>
        <v>0.13845275944267643</v>
      </c>
      <c r="I28" s="120">
        <f>I27/I20</f>
        <v>0.16641841893591661</v>
      </c>
      <c r="J28" s="119">
        <f t="shared" si="3"/>
        <v>0.17803270206839919</v>
      </c>
      <c r="K28" s="119">
        <f t="shared" si="3"/>
        <v>0.16962532473836642</v>
      </c>
      <c r="L28" s="119">
        <f t="shared" si="3"/>
        <v>0.16208305543176441</v>
      </c>
      <c r="M28" s="119">
        <f t="shared" si="3"/>
        <v>0.16208305543176435</v>
      </c>
      <c r="N28" s="119">
        <f t="shared" si="3"/>
        <v>0.16208305543176441</v>
      </c>
      <c r="O28" s="119">
        <f t="shared" si="3"/>
        <v>0.16208305543176438</v>
      </c>
      <c r="P28" s="119">
        <f t="shared" si="3"/>
        <v>0.16208305543176441</v>
      </c>
      <c r="Q28" s="119">
        <f t="shared" si="3"/>
        <v>0.16208305543176435</v>
      </c>
    </row>
    <row r="29" spans="1:20" x14ac:dyDescent="0.2">
      <c r="B29" s="91"/>
      <c r="H29" s="95"/>
      <c r="I29" s="94"/>
      <c r="J29" s="95"/>
      <c r="K29" s="95"/>
      <c r="L29" s="95"/>
      <c r="M29" s="95"/>
      <c r="N29" s="95"/>
      <c r="O29" s="95"/>
      <c r="P29" s="95"/>
      <c r="Q29" s="95"/>
    </row>
    <row r="30" spans="1:20" x14ac:dyDescent="0.2">
      <c r="B30" s="179" t="s">
        <v>38</v>
      </c>
      <c r="C30" s="175"/>
      <c r="D30" s="175"/>
      <c r="E30" s="175"/>
      <c r="F30" s="175"/>
      <c r="G30" s="176"/>
      <c r="H30" s="176">
        <f>H24+H27</f>
        <v>6764.7422099999994</v>
      </c>
      <c r="I30" s="178">
        <f>I24+I27</f>
        <v>7900.85448</v>
      </c>
      <c r="J30" s="176">
        <f t="shared" ref="J30:Q30" si="4">J24+J27</f>
        <v>8302.8639299999995</v>
      </c>
      <c r="K30" s="176">
        <f t="shared" si="4"/>
        <v>7968.4139331999995</v>
      </c>
      <c r="L30" s="176">
        <f t="shared" si="4"/>
        <v>8127.7822118640015</v>
      </c>
      <c r="M30" s="176">
        <f t="shared" si="4"/>
        <v>8290.3378561012814</v>
      </c>
      <c r="N30" s="176">
        <f t="shared" si="4"/>
        <v>8456.1446132233068</v>
      </c>
      <c r="O30" s="176">
        <f t="shared" si="4"/>
        <v>8625.2675054877727</v>
      </c>
      <c r="P30" s="176">
        <f t="shared" si="4"/>
        <v>8797.7728555975264</v>
      </c>
      <c r="Q30" s="176">
        <f t="shared" si="4"/>
        <v>8973.7283127094779</v>
      </c>
    </row>
    <row r="31" spans="1:20" x14ac:dyDescent="0.2">
      <c r="I31" s="71"/>
    </row>
    <row r="32" spans="1:20" x14ac:dyDescent="0.2">
      <c r="B32" s="89" t="s">
        <v>39</v>
      </c>
      <c r="C32" s="88"/>
      <c r="D32" s="88"/>
      <c r="E32" s="88"/>
      <c r="F32" s="88"/>
      <c r="G32" s="88"/>
      <c r="H32" s="100">
        <f>H20-H30</f>
        <v>6798.7149400000026</v>
      </c>
      <c r="I32" s="101">
        <f t="shared" ref="I32:Q32" si="5">I20-I30</f>
        <v>7854.7041100000006</v>
      </c>
      <c r="J32" s="100">
        <f t="shared" si="5"/>
        <v>8077.2332999999981</v>
      </c>
      <c r="K32" s="100">
        <f t="shared" si="5"/>
        <v>9223.5529768000033</v>
      </c>
      <c r="L32" s="100">
        <f t="shared" si="5"/>
        <v>10224.024036335997</v>
      </c>
      <c r="M32" s="100">
        <f t="shared" si="5"/>
        <v>10428.504517062718</v>
      </c>
      <c r="N32" s="100">
        <f t="shared" si="5"/>
        <v>10637.074607403974</v>
      </c>
      <c r="O32" s="100">
        <f t="shared" si="5"/>
        <v>10849.816099552052</v>
      </c>
      <c r="P32" s="100">
        <f t="shared" si="5"/>
        <v>11066.812421543094</v>
      </c>
      <c r="Q32" s="100">
        <f t="shared" si="5"/>
        <v>11288.148669973958</v>
      </c>
      <c r="S32" s="174">
        <f>+(I32/H32)^(1/(COLUMNS(H32:I32)-1))-1</f>
        <v>0.15532187763706973</v>
      </c>
      <c r="T32" s="174">
        <f>+(Q32/J32)^(1/(COLUMNS(J32:Q32)-1))-1</f>
        <v>4.8976424537831686E-2</v>
      </c>
    </row>
    <row r="33" spans="2:20" x14ac:dyDescent="0.2">
      <c r="B33" s="91" t="s">
        <v>93</v>
      </c>
      <c r="H33" s="119">
        <f t="shared" ref="H33:Q33" si="6">H32/H20</f>
        <v>0.50125236249225746</v>
      </c>
      <c r="I33" s="120">
        <f>I32/I20</f>
        <v>0.49853542577572302</v>
      </c>
      <c r="J33" s="119">
        <f t="shared" si="6"/>
        <v>0.49311265901441781</v>
      </c>
      <c r="K33" s="119">
        <f t="shared" si="6"/>
        <v>0.53650364877301882</v>
      </c>
      <c r="L33" s="119">
        <f t="shared" si="6"/>
        <v>0.55711268406284531</v>
      </c>
      <c r="M33" s="119">
        <f t="shared" si="6"/>
        <v>0.55711268406284542</v>
      </c>
      <c r="N33" s="119">
        <f t="shared" si="6"/>
        <v>0.55711268406284542</v>
      </c>
      <c r="O33" s="119">
        <f t="shared" si="6"/>
        <v>0.55711268406284542</v>
      </c>
      <c r="P33" s="119">
        <f t="shared" si="6"/>
        <v>0.55711268406284553</v>
      </c>
      <c r="Q33" s="119">
        <f t="shared" si="6"/>
        <v>0.55711268406284553</v>
      </c>
    </row>
    <row r="34" spans="2:20" x14ac:dyDescent="0.2">
      <c r="I34" s="71"/>
    </row>
    <row r="35" spans="2:20" x14ac:dyDescent="0.2">
      <c r="B35" s="70" t="s">
        <v>41</v>
      </c>
      <c r="I35" s="71"/>
    </row>
    <row r="36" spans="2:20" x14ac:dyDescent="0.2">
      <c r="B36" t="s">
        <v>216</v>
      </c>
      <c r="H36" s="103">
        <f>'Original &amp; Adjusted Data'!V24</f>
        <v>3732.3637600000002</v>
      </c>
      <c r="I36" s="104">
        <f>'Original &amp; Adjusted Data'!W24</f>
        <v>4224.7069699999993</v>
      </c>
      <c r="J36" s="103">
        <f>'Original &amp; Adjusted Data'!X24</f>
        <v>4056.7653299999997</v>
      </c>
      <c r="K36" s="103">
        <f>'Original &amp; Adjusted Data'!Y24</f>
        <v>4200.9513299999981</v>
      </c>
      <c r="L36" s="103">
        <f>'Original &amp; Adjusted Data'!Z24</f>
        <v>4279.3503565999999</v>
      </c>
      <c r="M36" s="103">
        <f>'Original &amp; Adjusted Data'!AA24</f>
        <v>4361.0573637320012</v>
      </c>
      <c r="N36" s="103">
        <f>'Original &amp; Adjusted Data'!AB24</f>
        <v>4443.0985110066413</v>
      </c>
      <c r="O36" s="103">
        <f>'Original &amp; Adjusted Data'!AC24</f>
        <v>4527.5004812267744</v>
      </c>
      <c r="P36" s="103">
        <f>'Original &amp; Adjusted Data'!AD24</f>
        <v>4613.2904908513083</v>
      </c>
      <c r="Q36" s="103">
        <f>'Original &amp; Adjusted Data'!AE24</f>
        <v>4700.4963006683338</v>
      </c>
      <c r="S36" s="174">
        <f>+(I36/H36)^(1/(COLUMNS(H36:I36)-1))-1</f>
        <v>0.13191190399941055</v>
      </c>
      <c r="T36" s="174">
        <f>+(Q36/J36)^(1/(COLUMNS(J36:Q36)-1))-1</f>
        <v>2.1263216426966158E-2</v>
      </c>
    </row>
    <row r="37" spans="2:20" x14ac:dyDescent="0.2">
      <c r="B37" s="91" t="s">
        <v>92</v>
      </c>
      <c r="H37" s="114">
        <f>H36/H20</f>
        <v>0.27517790772096773</v>
      </c>
      <c r="I37" s="121">
        <f t="shared" ref="I37:Q37" si="7">I36/I20</f>
        <v>0.26814072924595683</v>
      </c>
      <c r="J37" s="114">
        <f t="shared" si="7"/>
        <v>0.24766430095238209</v>
      </c>
      <c r="K37" s="114">
        <f t="shared" si="7"/>
        <v>0.2443554802072381</v>
      </c>
      <c r="L37" s="114">
        <f t="shared" si="7"/>
        <v>0.23318415085271138</v>
      </c>
      <c r="M37" s="114">
        <f t="shared" si="7"/>
        <v>0.2329768730775878</v>
      </c>
      <c r="N37" s="114">
        <f t="shared" si="7"/>
        <v>0.23270557257345886</v>
      </c>
      <c r="O37" s="114">
        <f t="shared" si="7"/>
        <v>0.23247656200331449</v>
      </c>
      <c r="P37" s="114">
        <f t="shared" si="7"/>
        <v>0.23223693958313343</v>
      </c>
      <c r="Q37" s="114">
        <f t="shared" si="7"/>
        <v>0.23198720951102186</v>
      </c>
    </row>
    <row r="38" spans="2:20" x14ac:dyDescent="0.2">
      <c r="I38" s="71"/>
    </row>
    <row r="39" spans="2:20" x14ac:dyDescent="0.2">
      <c r="B39" t="s">
        <v>43</v>
      </c>
      <c r="H39" s="103">
        <f>'Original &amp; Adjusted Data'!V25</f>
        <v>233.78640999999999</v>
      </c>
      <c r="I39" s="104">
        <f>'Original &amp; Adjusted Data'!W25</f>
        <v>231.49663000000001</v>
      </c>
      <c r="J39" s="103">
        <f>'Original &amp; Adjusted Data'!X25</f>
        <v>273.11919999999998</v>
      </c>
      <c r="K39" s="103">
        <f>'Original &amp; Adjusted Data'!Y25</f>
        <v>273.11919999999992</v>
      </c>
      <c r="L39" s="103">
        <f>'Original &amp; Adjusted Data'!Z25</f>
        <v>277.21598800000004</v>
      </c>
      <c r="M39" s="103">
        <f>'Original &amp; Adjusted Data'!AA25</f>
        <v>281.37422781999993</v>
      </c>
      <c r="N39" s="103">
        <f>'Original &amp; Adjusted Data'!AB25</f>
        <v>285.59484123729987</v>
      </c>
      <c r="O39" s="103">
        <f>'Original &amp; Adjusted Data'!AC25</f>
        <v>289.87876385585935</v>
      </c>
      <c r="P39" s="103">
        <f>'Original &amp; Adjusted Data'!AD25</f>
        <v>294.22694531369723</v>
      </c>
      <c r="Q39" s="103">
        <f>'Original &amp; Adjusted Data'!AE25</f>
        <v>298.64034949340265</v>
      </c>
      <c r="S39" s="174">
        <f>+(I39/H39)^(1/(COLUMNS(H39:I39)-1))-1</f>
        <v>-9.7943246572800291E-3</v>
      </c>
      <c r="T39" s="174">
        <f>+(Q39/J39)^(1/(COLUMNS(J39:Q39)-1))-1</f>
        <v>1.2843445437493939E-2</v>
      </c>
    </row>
    <row r="40" spans="2:20" x14ac:dyDescent="0.2">
      <c r="B40" s="91" t="s">
        <v>92</v>
      </c>
      <c r="H40" s="114">
        <f>H39/H20</f>
        <v>1.7236491214188705E-2</v>
      </c>
      <c r="I40" s="121">
        <f t="shared" ref="I40:Q40" si="8">I39/I20</f>
        <v>1.4693013178658745E-2</v>
      </c>
      <c r="J40" s="114">
        <f t="shared" si="8"/>
        <v>1.6673844859710886E-2</v>
      </c>
      <c r="K40" s="114">
        <f t="shared" si="8"/>
        <v>1.5886442861935444E-2</v>
      </c>
      <c r="L40" s="114">
        <f t="shared" si="8"/>
        <v>1.5105651413859616E-2</v>
      </c>
      <c r="M40" s="114">
        <f t="shared" si="8"/>
        <v>1.5031604103007357E-2</v>
      </c>
      <c r="N40" s="114">
        <f t="shared" si="8"/>
        <v>1.4957919769169081E-2</v>
      </c>
      <c r="O40" s="114">
        <f t="shared" si="8"/>
        <v>1.4884596633045703E-2</v>
      </c>
      <c r="P40" s="114">
        <f t="shared" si="8"/>
        <v>1.4811632924060184E-2</v>
      </c>
      <c r="Q40" s="114">
        <f t="shared" si="8"/>
        <v>1.4739026880314789E-2</v>
      </c>
    </row>
    <row r="41" spans="2:20" x14ac:dyDescent="0.2">
      <c r="B41" s="92"/>
      <c r="I41" s="71"/>
    </row>
    <row r="42" spans="2:20" x14ac:dyDescent="0.2">
      <c r="B42" t="s">
        <v>44</v>
      </c>
      <c r="H42" s="103">
        <f>'Original &amp; Adjusted Data'!V26</f>
        <v>139.57787000000002</v>
      </c>
      <c r="I42" s="104">
        <f>'Original &amp; Adjusted Data'!W26</f>
        <v>21.188420000000001</v>
      </c>
      <c r="J42" s="103">
        <f>'Original &amp; Adjusted Data'!X26</f>
        <v>110.17088</v>
      </c>
      <c r="K42" s="103">
        <f>'Original &amp; Adjusted Data'!Y26</f>
        <v>110.17056000000001</v>
      </c>
      <c r="L42" s="103">
        <f>'Original &amp; Adjusted Data'!Z26</f>
        <v>111.82311839999996</v>
      </c>
      <c r="M42" s="103">
        <f>'Original &amp; Adjusted Data'!AA26</f>
        <v>113.50046517599998</v>
      </c>
      <c r="N42" s="103">
        <f>'Original &amp; Adjusted Data'!AB26</f>
        <v>115.20297215364</v>
      </c>
      <c r="O42" s="103">
        <f>'Original &amp; Adjusted Data'!AC26</f>
        <v>116.93101673594454</v>
      </c>
      <c r="P42" s="103">
        <f>'Original &amp; Adjusted Data'!AD26</f>
        <v>118.6849819869837</v>
      </c>
      <c r="Q42" s="103">
        <f>'Original &amp; Adjusted Data'!AE26</f>
        <v>120.46525671678843</v>
      </c>
      <c r="S42" s="174">
        <f>+(I42/H42)^(1/(COLUMNS(H42:I42)-1))-1</f>
        <v>-0.8481964225417683</v>
      </c>
      <c r="T42" s="174">
        <f>+(Q42/J42)^(1/(COLUMNS(J42:Q42)-1))-1</f>
        <v>1.2843025167888156E-2</v>
      </c>
    </row>
    <row r="43" spans="2:20" x14ac:dyDescent="0.2">
      <c r="B43" s="91" t="s">
        <v>92</v>
      </c>
      <c r="H43" s="114">
        <f>H42/H20</f>
        <v>1.0290729602076415E-2</v>
      </c>
      <c r="I43" s="121">
        <f t="shared" ref="I43:Q43" si="9">I42/I20</f>
        <v>1.3448218848583521E-3</v>
      </c>
      <c r="J43" s="114">
        <f t="shared" si="9"/>
        <v>6.7258990256921702E-3</v>
      </c>
      <c r="K43" s="114">
        <f t="shared" si="9"/>
        <v>6.4082580298544791E-3</v>
      </c>
      <c r="L43" s="114">
        <f t="shared" si="9"/>
        <v>6.0933031270950736E-3</v>
      </c>
      <c r="M43" s="114">
        <f t="shared" si="9"/>
        <v>6.0634339941191178E-3</v>
      </c>
      <c r="N43" s="114">
        <f t="shared" si="9"/>
        <v>6.0337112784616719E-3</v>
      </c>
      <c r="O43" s="114">
        <f t="shared" si="9"/>
        <v>6.0041342623907788E-3</v>
      </c>
      <c r="P43" s="114">
        <f t="shared" si="9"/>
        <v>5.9747022316927849E-3</v>
      </c>
      <c r="Q43" s="114">
        <f t="shared" si="9"/>
        <v>5.945414475655073E-3</v>
      </c>
    </row>
    <row r="44" spans="2:20" x14ac:dyDescent="0.2">
      <c r="I44" s="71"/>
    </row>
    <row r="45" spans="2:20" x14ac:dyDescent="0.2">
      <c r="B45" t="s">
        <v>45</v>
      </c>
      <c r="H45" s="103">
        <f>'Original &amp; Adjusted Data'!V27</f>
        <v>202.160416</v>
      </c>
      <c r="I45" s="104">
        <f>'Original &amp; Adjusted Data'!W27</f>
        <v>291.00544000000002</v>
      </c>
      <c r="J45" s="103">
        <f>'Original &amp; Adjusted Data'!X27</f>
        <v>320.60965999999996</v>
      </c>
      <c r="K45" s="103">
        <f>'Original &amp; Adjusted Data'!Y27</f>
        <v>176.81000000000006</v>
      </c>
      <c r="L45" s="103">
        <f>'Original &amp; Adjusted Data'!Z27</f>
        <v>179.46214999999995</v>
      </c>
      <c r="M45" s="103">
        <f>'Original &amp; Adjusted Data'!AA27</f>
        <v>182.15408224999999</v>
      </c>
      <c r="N45" s="103">
        <f>'Original &amp; Adjusted Data'!AB27</f>
        <v>184.88639348374991</v>
      </c>
      <c r="O45" s="103">
        <f>'Original &amp; Adjusted Data'!AC27</f>
        <v>187.65968938600614</v>
      </c>
      <c r="P45" s="103">
        <f>'Original &amp; Adjusted Data'!AD27</f>
        <v>190.47458472679625</v>
      </c>
      <c r="Q45" s="103">
        <f>'Original &amp; Adjusted Data'!AE27</f>
        <v>193.33170349769821</v>
      </c>
      <c r="S45" s="174">
        <f>+(I45/H45)^(1/(COLUMNS(H45:I45)-1))-1</f>
        <v>0.43947784515837185</v>
      </c>
      <c r="T45" s="174">
        <f>+(Q45/J45)^(1/(COLUMNS(J45:Q45)-1))-1</f>
        <v>-6.9710610226294434E-2</v>
      </c>
    </row>
    <row r="46" spans="2:20" x14ac:dyDescent="0.2">
      <c r="B46" s="91" t="s">
        <v>92</v>
      </c>
      <c r="H46" s="114">
        <f>H45/H20</f>
        <v>1.4904785244962415E-2</v>
      </c>
      <c r="I46" s="121">
        <f t="shared" ref="I46:Q46" si="10">I45/I20</f>
        <v>1.8470017317234324E-2</v>
      </c>
      <c r="J46" s="114">
        <f t="shared" si="10"/>
        <v>1.9573123132187904E-2</v>
      </c>
      <c r="K46" s="114">
        <f t="shared" si="10"/>
        <v>1.0284454415576818E-2</v>
      </c>
      <c r="L46" s="114">
        <f t="shared" si="10"/>
        <v>9.7789911016307809E-3</v>
      </c>
      <c r="M46" s="114">
        <f t="shared" si="10"/>
        <v>9.7310548707404357E-3</v>
      </c>
      <c r="N46" s="114">
        <f t="shared" si="10"/>
        <v>9.6833536213740551E-3</v>
      </c>
      <c r="O46" s="114">
        <f t="shared" si="10"/>
        <v>9.6358862016614373E-3</v>
      </c>
      <c r="P46" s="114">
        <f t="shared" si="10"/>
        <v>9.5886514653787842E-3</v>
      </c>
      <c r="Q46" s="114">
        <f t="shared" si="10"/>
        <v>9.5416482719210462E-3</v>
      </c>
    </row>
    <row r="47" spans="2:20" x14ac:dyDescent="0.2">
      <c r="B47" s="91"/>
      <c r="I47" s="71"/>
    </row>
    <row r="48" spans="2:20" x14ac:dyDescent="0.2">
      <c r="B48" s="89" t="s">
        <v>46</v>
      </c>
      <c r="C48" s="88"/>
      <c r="D48" s="88"/>
      <c r="E48" s="88"/>
      <c r="F48" s="88"/>
      <c r="G48" s="88"/>
      <c r="H48" s="100">
        <f>-(H36+H39+H42+H45)</f>
        <v>-4307.8884559999997</v>
      </c>
      <c r="I48" s="101">
        <f t="shared" ref="I48:Q48" si="11">-(I36+I39+I42+I45)</f>
        <v>-4768.3974599999992</v>
      </c>
      <c r="J48" s="100">
        <f t="shared" si="11"/>
        <v>-4760.6650699999991</v>
      </c>
      <c r="K48" s="100">
        <f t="shared" si="11"/>
        <v>-4761.0510899999981</v>
      </c>
      <c r="L48" s="100">
        <f t="shared" si="11"/>
        <v>-4847.8516129999998</v>
      </c>
      <c r="M48" s="100">
        <f t="shared" si="11"/>
        <v>-4938.0861389780011</v>
      </c>
      <c r="N48" s="100">
        <f t="shared" si="11"/>
        <v>-5028.7827178813313</v>
      </c>
      <c r="O48" s="100">
        <f t="shared" si="11"/>
        <v>-5121.9699512045845</v>
      </c>
      <c r="P48" s="100">
        <f t="shared" si="11"/>
        <v>-5216.6770028787851</v>
      </c>
      <c r="Q48" s="100">
        <f t="shared" si="11"/>
        <v>-5312.9336103762234</v>
      </c>
      <c r="S48" s="174">
        <f>+(I48/H48)^(1/(COLUMNS(H48:I48)-1))-1</f>
        <v>0.10689900834331167</v>
      </c>
      <c r="T48" s="174">
        <f>+(Q48/J48)^(1/(COLUMNS(J48:Q48)-1))-1</f>
        <v>1.5803107907230052E-2</v>
      </c>
    </row>
    <row r="49" spans="1:20" x14ac:dyDescent="0.2">
      <c r="B49" s="91" t="s">
        <v>92</v>
      </c>
      <c r="H49" s="122">
        <f>-H48/H20</f>
        <v>0.31760991378219522</v>
      </c>
      <c r="I49" s="123">
        <f t="shared" ref="I49:Q49" si="12">-I48/I20</f>
        <v>0.30264858162670821</v>
      </c>
      <c r="J49" s="122">
        <f t="shared" si="12"/>
        <v>0.29063716796997302</v>
      </c>
      <c r="K49" s="122">
        <f t="shared" si="12"/>
        <v>0.27693463551460484</v>
      </c>
      <c r="L49" s="122">
        <f t="shared" si="12"/>
        <v>0.26416209649529687</v>
      </c>
      <c r="M49" s="122">
        <f t="shared" si="12"/>
        <v>0.26380296604545467</v>
      </c>
      <c r="N49" s="122">
        <f t="shared" si="12"/>
        <v>0.26338055724246368</v>
      </c>
      <c r="O49" s="122">
        <f t="shared" si="12"/>
        <v>0.26300117910041243</v>
      </c>
      <c r="P49" s="122">
        <f t="shared" si="12"/>
        <v>0.26261192620426516</v>
      </c>
      <c r="Q49" s="122">
        <f t="shared" si="12"/>
        <v>0.26221329913891278</v>
      </c>
    </row>
    <row r="50" spans="1:20" x14ac:dyDescent="0.2">
      <c r="I50" s="71"/>
    </row>
    <row r="51" spans="1:20" x14ac:dyDescent="0.2">
      <c r="B51" t="s">
        <v>63</v>
      </c>
      <c r="H51" s="99">
        <f>H32+H48</f>
        <v>2490.8264840000029</v>
      </c>
      <c r="I51" s="102">
        <f t="shared" ref="I51:Q51" si="13">I32+I48</f>
        <v>3086.3066500000014</v>
      </c>
      <c r="J51" s="99">
        <f t="shared" si="13"/>
        <v>3316.5682299999989</v>
      </c>
      <c r="K51" s="99">
        <f t="shared" si="13"/>
        <v>4462.5018868000052</v>
      </c>
      <c r="L51" s="99">
        <f t="shared" si="13"/>
        <v>5376.1724233359973</v>
      </c>
      <c r="M51" s="99">
        <f t="shared" si="13"/>
        <v>5490.418378084717</v>
      </c>
      <c r="N51" s="99">
        <f t="shared" si="13"/>
        <v>5608.291889522643</v>
      </c>
      <c r="O51" s="99">
        <f t="shared" si="13"/>
        <v>5727.8461483474675</v>
      </c>
      <c r="P51" s="99">
        <f t="shared" si="13"/>
        <v>5850.1354186643093</v>
      </c>
      <c r="Q51" s="99">
        <f t="shared" si="13"/>
        <v>5975.2150595977346</v>
      </c>
      <c r="S51" s="174">
        <f>+(I51/H51)^(1/(COLUMNS(H51:I51)-1))-1</f>
        <v>0.239069308851944</v>
      </c>
      <c r="T51" s="174">
        <f>+(Q51/J51)^(1/(COLUMNS(J51:Q51)-1))-1</f>
        <v>8.7736031734452213E-2</v>
      </c>
    </row>
    <row r="52" spans="1:20" x14ac:dyDescent="0.2">
      <c r="B52" s="91" t="s">
        <v>93</v>
      </c>
      <c r="H52" s="119">
        <f>H51/H20</f>
        <v>0.18364244871006227</v>
      </c>
      <c r="I52" s="120">
        <f t="shared" ref="I52:Q52" si="14">I51/I20</f>
        <v>0.1958868441490148</v>
      </c>
      <c r="J52" s="119">
        <f t="shared" si="14"/>
        <v>0.20247549104444476</v>
      </c>
      <c r="K52" s="119">
        <f t="shared" si="14"/>
        <v>0.25956901325841397</v>
      </c>
      <c r="L52" s="119">
        <f t="shared" si="14"/>
        <v>0.29295058756754849</v>
      </c>
      <c r="M52" s="119">
        <f t="shared" si="14"/>
        <v>0.2933097180173907</v>
      </c>
      <c r="N52" s="119">
        <f t="shared" si="14"/>
        <v>0.29373212682038174</v>
      </c>
      <c r="O52" s="119">
        <f t="shared" si="14"/>
        <v>0.29411150496243299</v>
      </c>
      <c r="P52" s="119">
        <f t="shared" si="14"/>
        <v>0.29450075785858032</v>
      </c>
      <c r="Q52" s="119">
        <f t="shared" si="14"/>
        <v>0.29489938492393269</v>
      </c>
    </row>
    <row r="53" spans="1:20" x14ac:dyDescent="0.2">
      <c r="B53" s="70"/>
      <c r="I53" s="71"/>
    </row>
    <row r="54" spans="1:20" x14ac:dyDescent="0.2">
      <c r="B54" s="179" t="s">
        <v>94</v>
      </c>
      <c r="C54" s="175"/>
      <c r="D54" s="175"/>
      <c r="E54" s="175"/>
      <c r="F54" s="175"/>
      <c r="G54" s="176"/>
      <c r="H54" s="176">
        <f>H51+H68</f>
        <v>3033.3647700000029</v>
      </c>
      <c r="I54" s="178">
        <f t="shared" ref="I54:Q54" si="15">I51+I68</f>
        <v>3700.7734350100013</v>
      </c>
      <c r="J54" s="176">
        <f t="shared" si="15"/>
        <v>3955.392021969999</v>
      </c>
      <c r="K54" s="176">
        <f t="shared" si="15"/>
        <v>5132.9885962900053</v>
      </c>
      <c r="L54" s="176">
        <f t="shared" si="15"/>
        <v>6091.8928670157975</v>
      </c>
      <c r="M54" s="176">
        <f t="shared" si="15"/>
        <v>6220.4532306381134</v>
      </c>
      <c r="N54" s="176">
        <f t="shared" si="15"/>
        <v>6352.9274391271074</v>
      </c>
      <c r="O54" s="176">
        <f t="shared" si="15"/>
        <v>6487.3744089440206</v>
      </c>
      <c r="P54" s="176">
        <f t="shared" si="15"/>
        <v>6624.8542444727937</v>
      </c>
      <c r="Q54" s="176">
        <f t="shared" si="15"/>
        <v>6765.4282619223886</v>
      </c>
      <c r="S54" s="174">
        <f>+(I54/H54)^(1/(COLUMNS(H54:I54)-1))-1</f>
        <v>0.22002255436295504</v>
      </c>
      <c r="T54" s="174">
        <f>+(Q54/J54)^(1/(COLUMNS(J54:Q54)-1))-1</f>
        <v>7.9694335422388018E-2</v>
      </c>
    </row>
    <row r="55" spans="1:20" x14ac:dyDescent="0.2">
      <c r="B55" s="91" t="s">
        <v>93</v>
      </c>
      <c r="G55" s="177"/>
      <c r="H55" s="119">
        <f t="shared" ref="H55:Q55" si="16">H54/H20</f>
        <v>0.22364244871006228</v>
      </c>
      <c r="I55" s="120">
        <f t="shared" si="16"/>
        <v>0.23488684414901478</v>
      </c>
      <c r="J55" s="119">
        <f t="shared" si="16"/>
        <v>0.24147549104444477</v>
      </c>
      <c r="K55" s="119">
        <f t="shared" si="16"/>
        <v>0.29856901325841401</v>
      </c>
      <c r="L55" s="119">
        <f t="shared" si="16"/>
        <v>0.33195058756754853</v>
      </c>
      <c r="M55" s="119">
        <f t="shared" si="16"/>
        <v>0.33230971801739073</v>
      </c>
      <c r="N55" s="119">
        <f t="shared" si="16"/>
        <v>0.33273212682038178</v>
      </c>
      <c r="O55" s="119">
        <f t="shared" si="16"/>
        <v>0.33311150496243297</v>
      </c>
      <c r="P55" s="119">
        <f t="shared" si="16"/>
        <v>0.3335007578585803</v>
      </c>
      <c r="Q55" s="119">
        <f t="shared" si="16"/>
        <v>0.33389938492393267</v>
      </c>
    </row>
    <row r="56" spans="1:20" x14ac:dyDescent="0.2">
      <c r="B56" s="92"/>
      <c r="H56" s="96"/>
      <c r="I56" s="93"/>
      <c r="J56" s="96"/>
      <c r="K56" s="96"/>
      <c r="L56" s="96"/>
      <c r="M56" s="96"/>
      <c r="N56" s="96"/>
      <c r="O56" s="96"/>
      <c r="P56" s="96"/>
      <c r="Q56" s="96"/>
    </row>
    <row r="57" spans="1:20" x14ac:dyDescent="0.2">
      <c r="B57" t="s">
        <v>95</v>
      </c>
      <c r="H57" s="99">
        <f>-H51*H58</f>
        <v>-660.0690182600008</v>
      </c>
      <c r="I57" s="102">
        <f t="shared" ref="I57:Q57" si="17">-I51*I58</f>
        <v>-817.87126225000043</v>
      </c>
      <c r="J57" s="99">
        <f t="shared" si="17"/>
        <v>-878.89058094999973</v>
      </c>
      <c r="K57" s="99">
        <f t="shared" si="17"/>
        <v>-1182.5630000020014</v>
      </c>
      <c r="L57" s="99">
        <f t="shared" si="17"/>
        <v>-1424.6856921840395</v>
      </c>
      <c r="M57" s="99">
        <f t="shared" si="17"/>
        <v>-1454.9608701924501</v>
      </c>
      <c r="N57" s="99">
        <f t="shared" si="17"/>
        <v>-1486.1973507235004</v>
      </c>
      <c r="O57" s="99">
        <f t="shared" si="17"/>
        <v>-1517.8792293120789</v>
      </c>
      <c r="P57" s="99">
        <f t="shared" si="17"/>
        <v>-1550.2858859460421</v>
      </c>
      <c r="Q57" s="99">
        <f t="shared" si="17"/>
        <v>-1583.4319907933998</v>
      </c>
      <c r="S57" s="114"/>
    </row>
    <row r="58" spans="1:20" x14ac:dyDescent="0.2">
      <c r="B58" s="91" t="s">
        <v>96</v>
      </c>
      <c r="H58" s="122">
        <f>$F$11</f>
        <v>0.26500000000000001</v>
      </c>
      <c r="I58" s="123">
        <f t="shared" ref="I58:Q58" si="18">$F$11</f>
        <v>0.26500000000000001</v>
      </c>
      <c r="J58" s="122">
        <f t="shared" si="18"/>
        <v>0.26500000000000001</v>
      </c>
      <c r="K58" s="122">
        <f t="shared" si="18"/>
        <v>0.26500000000000001</v>
      </c>
      <c r="L58" s="122">
        <f t="shared" si="18"/>
        <v>0.26500000000000001</v>
      </c>
      <c r="M58" s="122">
        <f t="shared" si="18"/>
        <v>0.26500000000000001</v>
      </c>
      <c r="N58" s="122">
        <f t="shared" si="18"/>
        <v>0.26500000000000001</v>
      </c>
      <c r="O58" s="122">
        <f t="shared" si="18"/>
        <v>0.26500000000000001</v>
      </c>
      <c r="P58" s="122">
        <f t="shared" si="18"/>
        <v>0.26500000000000001</v>
      </c>
      <c r="Q58" s="122">
        <f t="shared" si="18"/>
        <v>0.26500000000000001</v>
      </c>
    </row>
    <row r="59" spans="1:20" x14ac:dyDescent="0.2">
      <c r="I59" s="71"/>
    </row>
    <row r="60" spans="1:20" x14ac:dyDescent="0.2">
      <c r="B60" s="179" t="s">
        <v>97</v>
      </c>
      <c r="C60" s="175"/>
      <c r="D60" s="175"/>
      <c r="E60" s="175"/>
      <c r="F60" s="175"/>
      <c r="G60" s="176"/>
      <c r="H60" s="176">
        <f>H51+H57</f>
        <v>1830.7574657400021</v>
      </c>
      <c r="I60" s="178">
        <f t="shared" ref="I60:Q60" si="19">I51+I57</f>
        <v>2268.4353877500007</v>
      </c>
      <c r="J60" s="176">
        <f t="shared" si="19"/>
        <v>2437.6776490499992</v>
      </c>
      <c r="K60" s="176">
        <f t="shared" si="19"/>
        <v>3279.9388867980038</v>
      </c>
      <c r="L60" s="176">
        <f t="shared" si="19"/>
        <v>3951.4867311519579</v>
      </c>
      <c r="M60" s="176">
        <f t="shared" si="19"/>
        <v>4035.4575078922671</v>
      </c>
      <c r="N60" s="176">
        <f t="shared" si="19"/>
        <v>4122.0945387991424</v>
      </c>
      <c r="O60" s="176">
        <f t="shared" si="19"/>
        <v>4209.9669190353889</v>
      </c>
      <c r="P60" s="176">
        <f t="shared" si="19"/>
        <v>4299.8495327182673</v>
      </c>
      <c r="Q60" s="176">
        <f t="shared" si="19"/>
        <v>4391.783068804335</v>
      </c>
      <c r="S60" s="174">
        <f>+(I60/H60)^(1/(COLUMNS(H60:I60)-1))-1</f>
        <v>0.23906930885194377</v>
      </c>
      <c r="T60" s="174">
        <f>+(Q60/J60)^(1/(COLUMNS(J60:Q60)-1))-1</f>
        <v>8.7736031734452213E-2</v>
      </c>
    </row>
    <row r="61" spans="1:20" x14ac:dyDescent="0.2">
      <c r="B61" s="91" t="s">
        <v>98</v>
      </c>
      <c r="H61" s="119">
        <f>H60/H20</f>
        <v>0.13497719980189576</v>
      </c>
      <c r="I61" s="120">
        <f t="shared" ref="I61:Q61" si="20">I60/I20</f>
        <v>0.14397683044952586</v>
      </c>
      <c r="J61" s="119">
        <f t="shared" si="20"/>
        <v>0.14881948591766689</v>
      </c>
      <c r="K61" s="119">
        <f t="shared" si="20"/>
        <v>0.19078322474493428</v>
      </c>
      <c r="L61" s="119">
        <f t="shared" si="20"/>
        <v>0.21531868186214814</v>
      </c>
      <c r="M61" s="119">
        <f t="shared" si="20"/>
        <v>0.21558264274278216</v>
      </c>
      <c r="N61" s="119">
        <f t="shared" si="20"/>
        <v>0.21589311321298058</v>
      </c>
      <c r="O61" s="119">
        <f t="shared" si="20"/>
        <v>0.21617195614738824</v>
      </c>
      <c r="P61" s="119">
        <f t="shared" si="20"/>
        <v>0.21645805702605653</v>
      </c>
      <c r="Q61" s="119">
        <f t="shared" si="20"/>
        <v>0.21675104791909053</v>
      </c>
    </row>
    <row r="62" spans="1:20" x14ac:dyDescent="0.2">
      <c r="I62" s="71"/>
    </row>
    <row r="63" spans="1:20" x14ac:dyDescent="0.2">
      <c r="A63" t="s">
        <v>66</v>
      </c>
      <c r="B63" s="109" t="s">
        <v>99</v>
      </c>
      <c r="C63" s="110"/>
      <c r="D63" s="110"/>
      <c r="E63" s="110"/>
      <c r="F63" s="110"/>
      <c r="G63" s="110"/>
      <c r="H63" s="111">
        <v>2021</v>
      </c>
      <c r="I63" s="112">
        <f t="shared" ref="I63:Q63" si="21">H63+1</f>
        <v>2022</v>
      </c>
      <c r="J63" s="113">
        <f t="shared" si="21"/>
        <v>2023</v>
      </c>
      <c r="K63" s="113">
        <f t="shared" si="21"/>
        <v>2024</v>
      </c>
      <c r="L63" s="113">
        <f t="shared" si="21"/>
        <v>2025</v>
      </c>
      <c r="M63" s="113">
        <f t="shared" si="21"/>
        <v>2026</v>
      </c>
      <c r="N63" s="113">
        <f t="shared" si="21"/>
        <v>2027</v>
      </c>
      <c r="O63" s="113">
        <f t="shared" si="21"/>
        <v>2028</v>
      </c>
      <c r="P63" s="113">
        <f t="shared" si="21"/>
        <v>2029</v>
      </c>
      <c r="Q63" s="113">
        <f t="shared" si="21"/>
        <v>2030</v>
      </c>
    </row>
    <row r="64" spans="1:20" x14ac:dyDescent="0.2">
      <c r="B64" s="98"/>
      <c r="I64" s="71"/>
    </row>
    <row r="65" spans="1:20" x14ac:dyDescent="0.2">
      <c r="B65" t="s">
        <v>75</v>
      </c>
      <c r="H65" s="99">
        <f>I65</f>
        <v>-1000</v>
      </c>
      <c r="I65" s="102">
        <f>J65</f>
        <v>-1000</v>
      </c>
      <c r="J65" s="99">
        <f>-F9</f>
        <v>-1000</v>
      </c>
      <c r="K65" s="99">
        <f t="shared" ref="K65:Q65" si="22">J65</f>
        <v>-1000</v>
      </c>
      <c r="L65" s="99">
        <f t="shared" si="22"/>
        <v>-1000</v>
      </c>
      <c r="M65" s="99">
        <f t="shared" si="22"/>
        <v>-1000</v>
      </c>
      <c r="N65" s="99">
        <f t="shared" si="22"/>
        <v>-1000</v>
      </c>
      <c r="O65" s="99">
        <f t="shared" si="22"/>
        <v>-1000</v>
      </c>
      <c r="P65" s="99">
        <f t="shared" si="22"/>
        <v>-1000</v>
      </c>
      <c r="Q65" s="99">
        <f t="shared" si="22"/>
        <v>-1000</v>
      </c>
    </row>
    <row r="66" spans="1:20" x14ac:dyDescent="0.2">
      <c r="B66" s="91" t="s">
        <v>100</v>
      </c>
      <c r="H66" s="119">
        <f>-H65/H20</f>
        <v>7.3727515701997842E-2</v>
      </c>
      <c r="I66" s="120">
        <f t="shared" ref="I66:Q66" si="23">-I65/I20</f>
        <v>6.3469663375483029E-2</v>
      </c>
      <c r="J66" s="119">
        <f t="shared" si="23"/>
        <v>6.1049698665311292E-2</v>
      </c>
      <c r="K66" s="119">
        <f t="shared" si="23"/>
        <v>5.8166701066550613E-2</v>
      </c>
      <c r="L66" s="119">
        <f t="shared" si="23"/>
        <v>5.4490549130447749E-2</v>
      </c>
      <c r="M66" s="119">
        <f t="shared" si="23"/>
        <v>5.3422106990635043E-2</v>
      </c>
      <c r="N66" s="119">
        <f t="shared" si="23"/>
        <v>5.2374614696701023E-2</v>
      </c>
      <c r="O66" s="119">
        <f t="shared" si="23"/>
        <v>5.134766146735395E-2</v>
      </c>
      <c r="P66" s="119">
        <f t="shared" si="23"/>
        <v>5.0340844575837207E-2</v>
      </c>
      <c r="Q66" s="119">
        <f t="shared" si="23"/>
        <v>4.935376919199725E-2</v>
      </c>
    </row>
    <row r="67" spans="1:20" x14ac:dyDescent="0.2">
      <c r="H67" s="119"/>
      <c r="I67" s="120"/>
      <c r="J67" s="119"/>
      <c r="K67" s="119"/>
      <c r="L67" s="119"/>
      <c r="M67" s="119"/>
      <c r="N67" s="119"/>
      <c r="O67" s="119"/>
      <c r="P67" s="119"/>
      <c r="Q67" s="119"/>
    </row>
    <row r="68" spans="1:20" x14ac:dyDescent="0.2">
      <c r="B68" t="s">
        <v>101</v>
      </c>
      <c r="H68" s="99">
        <f t="shared" ref="H68:Q68" si="24">H69*H20</f>
        <v>542.53828600000008</v>
      </c>
      <c r="I68" s="102">
        <f t="shared" si="24"/>
        <v>614.46678500999997</v>
      </c>
      <c r="J68" s="99">
        <f t="shared" si="24"/>
        <v>638.82379196999989</v>
      </c>
      <c r="K68" s="99">
        <f t="shared" si="24"/>
        <v>670.48670949000007</v>
      </c>
      <c r="L68" s="99">
        <f t="shared" si="24"/>
        <v>715.72044367979993</v>
      </c>
      <c r="M68" s="99">
        <f t="shared" si="24"/>
        <v>730.03485255339604</v>
      </c>
      <c r="N68" s="99">
        <f t="shared" si="24"/>
        <v>744.63554960446402</v>
      </c>
      <c r="O68" s="99">
        <f t="shared" si="24"/>
        <v>759.5282605965532</v>
      </c>
      <c r="P68" s="99">
        <f t="shared" si="24"/>
        <v>774.71882580848421</v>
      </c>
      <c r="Q68" s="99">
        <f t="shared" si="24"/>
        <v>790.21320232465405</v>
      </c>
    </row>
    <row r="69" spans="1:20" x14ac:dyDescent="0.2">
      <c r="B69" s="91" t="s">
        <v>102</v>
      </c>
      <c r="D69" s="126"/>
      <c r="H69" s="119">
        <v>0.04</v>
      </c>
      <c r="I69" s="120">
        <v>3.9E-2</v>
      </c>
      <c r="J69" s="119">
        <f>I69</f>
        <v>3.9E-2</v>
      </c>
      <c r="K69" s="119">
        <f t="shared" ref="K69:Q69" si="25">J69</f>
        <v>3.9E-2</v>
      </c>
      <c r="L69" s="119">
        <f t="shared" si="25"/>
        <v>3.9E-2</v>
      </c>
      <c r="M69" s="119">
        <f t="shared" si="25"/>
        <v>3.9E-2</v>
      </c>
      <c r="N69" s="119">
        <f t="shared" si="25"/>
        <v>3.9E-2</v>
      </c>
      <c r="O69" s="119">
        <f t="shared" si="25"/>
        <v>3.9E-2</v>
      </c>
      <c r="P69" s="119">
        <f t="shared" si="25"/>
        <v>3.9E-2</v>
      </c>
      <c r="Q69" s="119">
        <f t="shared" si="25"/>
        <v>3.9E-2</v>
      </c>
    </row>
    <row r="70" spans="1:20" x14ac:dyDescent="0.2">
      <c r="B70" s="91" t="s">
        <v>103</v>
      </c>
      <c r="H70" s="119">
        <f>-H68/H65</f>
        <v>0.54253828600000009</v>
      </c>
      <c r="I70" s="120">
        <f t="shared" ref="I70:Q70" si="26">-I68/I65</f>
        <v>0.61446678500999996</v>
      </c>
      <c r="J70" s="119">
        <f t="shared" si="26"/>
        <v>0.63882379196999994</v>
      </c>
      <c r="K70" s="119">
        <f t="shared" si="26"/>
        <v>0.67048670949000011</v>
      </c>
      <c r="L70" s="119">
        <f t="shared" si="26"/>
        <v>0.71572044367979992</v>
      </c>
      <c r="M70" s="119">
        <f t="shared" si="26"/>
        <v>0.73003485255339606</v>
      </c>
      <c r="N70" s="119">
        <f t="shared" si="26"/>
        <v>0.74463554960446399</v>
      </c>
      <c r="O70" s="119">
        <f t="shared" si="26"/>
        <v>0.75952826059655321</v>
      </c>
      <c r="P70" s="119">
        <f t="shared" si="26"/>
        <v>0.77471882580848417</v>
      </c>
      <c r="Q70" s="119">
        <f t="shared" si="26"/>
        <v>0.79021320232465408</v>
      </c>
    </row>
    <row r="71" spans="1:20" x14ac:dyDescent="0.2">
      <c r="B71" s="98" t="s">
        <v>104</v>
      </c>
      <c r="I71" s="71"/>
    </row>
    <row r="72" spans="1:20" x14ac:dyDescent="0.2">
      <c r="A72" t="s">
        <v>66</v>
      </c>
      <c r="B72" s="109" t="s">
        <v>104</v>
      </c>
      <c r="C72" s="110"/>
      <c r="D72" s="110"/>
      <c r="E72" s="110"/>
      <c r="F72" s="110"/>
      <c r="G72" s="110"/>
      <c r="H72" s="111">
        <v>2021</v>
      </c>
      <c r="I72" s="112">
        <f t="shared" ref="I72:Q72" si="27">H72+1</f>
        <v>2022</v>
      </c>
      <c r="J72" s="113">
        <f t="shared" si="27"/>
        <v>2023</v>
      </c>
      <c r="K72" s="113">
        <f t="shared" si="27"/>
        <v>2024</v>
      </c>
      <c r="L72" s="113">
        <f t="shared" si="27"/>
        <v>2025</v>
      </c>
      <c r="M72" s="113">
        <f t="shared" si="27"/>
        <v>2026</v>
      </c>
      <c r="N72" s="113">
        <f t="shared" si="27"/>
        <v>2027</v>
      </c>
      <c r="O72" s="113">
        <f t="shared" si="27"/>
        <v>2028</v>
      </c>
      <c r="P72" s="113">
        <f t="shared" si="27"/>
        <v>2029</v>
      </c>
      <c r="Q72" s="113">
        <f t="shared" si="27"/>
        <v>2030</v>
      </c>
    </row>
    <row r="73" spans="1:20" x14ac:dyDescent="0.2">
      <c r="B73" s="98"/>
      <c r="I73" s="71"/>
    </row>
    <row r="74" spans="1:20" x14ac:dyDescent="0.2">
      <c r="B74" s="70" t="s">
        <v>97</v>
      </c>
      <c r="H74" s="124">
        <f t="shared" ref="H74:Q74" si="28">H60</f>
        <v>1830.7574657400021</v>
      </c>
      <c r="I74" s="125">
        <f t="shared" si="28"/>
        <v>2268.4353877500007</v>
      </c>
      <c r="J74" s="124">
        <f t="shared" si="28"/>
        <v>2437.6776490499992</v>
      </c>
      <c r="K74" s="124">
        <f t="shared" si="28"/>
        <v>3279.9388867980038</v>
      </c>
      <c r="L74" s="124">
        <f t="shared" si="28"/>
        <v>3951.4867311519579</v>
      </c>
      <c r="M74" s="124">
        <f t="shared" si="28"/>
        <v>4035.4575078922671</v>
      </c>
      <c r="N74" s="124">
        <f t="shared" si="28"/>
        <v>4122.0945387991424</v>
      </c>
      <c r="O74" s="124">
        <f t="shared" si="28"/>
        <v>4209.9669190353889</v>
      </c>
      <c r="P74" s="124">
        <f t="shared" si="28"/>
        <v>4299.8495327182673</v>
      </c>
      <c r="Q74" s="124">
        <f t="shared" si="28"/>
        <v>4391.783068804335</v>
      </c>
    </row>
    <row r="75" spans="1:20" x14ac:dyDescent="0.2">
      <c r="B75" s="92" t="s">
        <v>105</v>
      </c>
      <c r="H75" s="124">
        <f t="shared" ref="H75:Q75" si="29">H68</f>
        <v>542.53828600000008</v>
      </c>
      <c r="I75" s="125">
        <f t="shared" si="29"/>
        <v>614.46678500999997</v>
      </c>
      <c r="J75" s="124">
        <f t="shared" si="29"/>
        <v>638.82379196999989</v>
      </c>
      <c r="K75" s="124">
        <f t="shared" si="29"/>
        <v>670.48670949000007</v>
      </c>
      <c r="L75" s="124">
        <f t="shared" si="29"/>
        <v>715.72044367979993</v>
      </c>
      <c r="M75" s="124">
        <f t="shared" si="29"/>
        <v>730.03485255339604</v>
      </c>
      <c r="N75" s="124">
        <f t="shared" si="29"/>
        <v>744.63554960446402</v>
      </c>
      <c r="O75" s="124">
        <f t="shared" si="29"/>
        <v>759.5282605965532</v>
      </c>
      <c r="P75" s="124">
        <f t="shared" si="29"/>
        <v>774.71882580848421</v>
      </c>
      <c r="Q75" s="124">
        <f t="shared" si="29"/>
        <v>790.21320232465405</v>
      </c>
    </row>
    <row r="76" spans="1:20" x14ac:dyDescent="0.2">
      <c r="B76" s="92" t="s">
        <v>106</v>
      </c>
      <c r="H76" s="99">
        <f t="shared" ref="H76:Q76" si="30">H65</f>
        <v>-1000</v>
      </c>
      <c r="I76" s="102">
        <f t="shared" si="30"/>
        <v>-1000</v>
      </c>
      <c r="J76" s="99">
        <f t="shared" si="30"/>
        <v>-1000</v>
      </c>
      <c r="K76" s="99">
        <f t="shared" si="30"/>
        <v>-1000</v>
      </c>
      <c r="L76" s="99">
        <f t="shared" si="30"/>
        <v>-1000</v>
      </c>
      <c r="M76" s="99">
        <f t="shared" si="30"/>
        <v>-1000</v>
      </c>
      <c r="N76" s="99">
        <f t="shared" si="30"/>
        <v>-1000</v>
      </c>
      <c r="O76" s="99">
        <f t="shared" si="30"/>
        <v>-1000</v>
      </c>
      <c r="P76" s="99">
        <f t="shared" si="30"/>
        <v>-1000</v>
      </c>
      <c r="Q76" s="99">
        <f t="shared" si="30"/>
        <v>-1000</v>
      </c>
    </row>
    <row r="77" spans="1:20" x14ac:dyDescent="0.2">
      <c r="B77" s="92" t="s">
        <v>107</v>
      </c>
      <c r="I77" s="71"/>
      <c r="J77" s="99">
        <f>-F10</f>
        <v>-100</v>
      </c>
      <c r="K77" s="99">
        <f t="shared" ref="K77:Q77" si="31">J77</f>
        <v>-100</v>
      </c>
      <c r="L77" s="99">
        <f t="shared" si="31"/>
        <v>-100</v>
      </c>
      <c r="M77" s="99">
        <f t="shared" si="31"/>
        <v>-100</v>
      </c>
      <c r="N77" s="99">
        <f t="shared" si="31"/>
        <v>-100</v>
      </c>
      <c r="O77" s="99">
        <f t="shared" si="31"/>
        <v>-100</v>
      </c>
      <c r="P77" s="99">
        <f t="shared" si="31"/>
        <v>-100</v>
      </c>
      <c r="Q77" s="99">
        <f t="shared" si="31"/>
        <v>-100</v>
      </c>
    </row>
    <row r="78" spans="1:20" x14ac:dyDescent="0.2">
      <c r="B78" s="181" t="s">
        <v>108</v>
      </c>
      <c r="C78" s="182"/>
      <c r="D78" s="182"/>
      <c r="E78" s="182"/>
      <c r="F78" s="182"/>
      <c r="G78" s="182"/>
      <c r="H78" s="182"/>
      <c r="I78" s="183"/>
      <c r="J78" s="184">
        <f>SUM(J74:J77)</f>
        <v>1976.5014410199992</v>
      </c>
      <c r="K78" s="184">
        <f t="shared" ref="K78:Q78" si="32">SUM(K74:K77)</f>
        <v>2850.4255962880038</v>
      </c>
      <c r="L78" s="184">
        <f t="shared" si="32"/>
        <v>3567.2071748317576</v>
      </c>
      <c r="M78" s="184">
        <f t="shared" si="32"/>
        <v>3665.4923604456635</v>
      </c>
      <c r="N78" s="184">
        <f t="shared" si="32"/>
        <v>3766.7300884036067</v>
      </c>
      <c r="O78" s="184">
        <f t="shared" si="32"/>
        <v>3869.4951796319419</v>
      </c>
      <c r="P78" s="184">
        <f t="shared" si="32"/>
        <v>3974.5683585267516</v>
      </c>
      <c r="Q78" s="184">
        <f t="shared" si="32"/>
        <v>4081.9962711289891</v>
      </c>
      <c r="T78" s="174">
        <f>+(Q78/J78)^(1/(COLUMNS(J78:Q78)-1))-1</f>
        <v>0.10916586485543167</v>
      </c>
    </row>
    <row r="79" spans="1:20" x14ac:dyDescent="0.2">
      <c r="B79" s="91" t="s">
        <v>92</v>
      </c>
      <c r="I79" s="71"/>
      <c r="J79" s="95">
        <f t="shared" ref="J79:Q79" si="33">J78/J20</f>
        <v>0.12066481738582449</v>
      </c>
      <c r="K79" s="95">
        <f t="shared" si="33"/>
        <v>0.16579985357172861</v>
      </c>
      <c r="L79" s="95">
        <f t="shared" si="33"/>
        <v>0.1943790778186556</v>
      </c>
      <c r="M79" s="95">
        <f t="shared" si="33"/>
        <v>0.19581832505308364</v>
      </c>
      <c r="N79" s="95">
        <f t="shared" si="33"/>
        <v>0.19728103704660949</v>
      </c>
      <c r="O79" s="95">
        <f t="shared" si="33"/>
        <v>0.19868952853329891</v>
      </c>
      <c r="P79" s="95">
        <f t="shared" si="33"/>
        <v>0.20008312799263561</v>
      </c>
      <c r="Q79" s="95">
        <f t="shared" si="33"/>
        <v>0.20146190180789356</v>
      </c>
    </row>
    <row r="80" spans="1:20" x14ac:dyDescent="0.2">
      <c r="B80" s="70"/>
      <c r="I80" s="71"/>
      <c r="J80" s="107"/>
      <c r="K80" s="107"/>
      <c r="L80" s="107"/>
      <c r="M80" s="107"/>
      <c r="N80" s="107"/>
      <c r="O80" s="107"/>
      <c r="P80" s="107"/>
      <c r="Q80" s="107"/>
    </row>
    <row r="81" spans="1:17" x14ac:dyDescent="0.2">
      <c r="B81" s="92" t="s">
        <v>109</v>
      </c>
      <c r="E81" s="189">
        <f>I9</f>
        <v>44781</v>
      </c>
      <c r="I81" s="71"/>
      <c r="J81" s="107"/>
      <c r="K81" s="107"/>
      <c r="L81" s="107"/>
      <c r="M81" s="107"/>
      <c r="N81" s="107"/>
      <c r="O81" s="107"/>
      <c r="P81" s="107"/>
      <c r="Q81" s="107"/>
    </row>
    <row r="82" spans="1:17" x14ac:dyDescent="0.2">
      <c r="B82" s="92" t="s">
        <v>110</v>
      </c>
      <c r="H82" s="108"/>
      <c r="I82" s="128"/>
      <c r="J82" s="108">
        <f>I11</f>
        <v>44926</v>
      </c>
      <c r="K82" s="108">
        <f t="shared" ref="K82:Q82" si="34">EOMONTH(J82,12)</f>
        <v>45291</v>
      </c>
      <c r="L82" s="108">
        <f t="shared" si="34"/>
        <v>45657</v>
      </c>
      <c r="M82" s="108">
        <f t="shared" si="34"/>
        <v>46022</v>
      </c>
      <c r="N82" s="108">
        <f t="shared" si="34"/>
        <v>46387</v>
      </c>
      <c r="O82" s="108">
        <f t="shared" si="34"/>
        <v>46752</v>
      </c>
      <c r="P82" s="108">
        <f t="shared" si="34"/>
        <v>47118</v>
      </c>
      <c r="Q82" s="108">
        <f t="shared" si="34"/>
        <v>47483</v>
      </c>
    </row>
    <row r="83" spans="1:17" x14ac:dyDescent="0.2">
      <c r="B83" s="92" t="s">
        <v>111</v>
      </c>
      <c r="I83" s="71"/>
      <c r="J83" s="106">
        <f>(J82-E81)/365</f>
        <v>0.39726027397260272</v>
      </c>
      <c r="K83" s="106">
        <f t="shared" ref="K83:Q83" si="35">J83+1</f>
        <v>1.3972602739726028</v>
      </c>
      <c r="L83" s="106">
        <f t="shared" si="35"/>
        <v>2.397260273972603</v>
      </c>
      <c r="M83" s="106">
        <f t="shared" si="35"/>
        <v>3.397260273972603</v>
      </c>
      <c r="N83" s="106">
        <f t="shared" si="35"/>
        <v>4.397260273972603</v>
      </c>
      <c r="O83" s="106">
        <f t="shared" si="35"/>
        <v>5.397260273972603</v>
      </c>
      <c r="P83" s="106">
        <f t="shared" si="35"/>
        <v>6.397260273972603</v>
      </c>
      <c r="Q83" s="106">
        <f t="shared" si="35"/>
        <v>7.397260273972603</v>
      </c>
    </row>
    <row r="84" spans="1:17" x14ac:dyDescent="0.2">
      <c r="B84" s="92" t="s">
        <v>112</v>
      </c>
      <c r="I84" s="71"/>
      <c r="J84" s="106">
        <f>J83/2</f>
        <v>0.19863013698630136</v>
      </c>
      <c r="K84" s="106">
        <f t="shared" ref="K84:Q84" si="36">K83-0.5</f>
        <v>0.89726027397260277</v>
      </c>
      <c r="L84" s="106">
        <f t="shared" si="36"/>
        <v>1.897260273972603</v>
      </c>
      <c r="M84" s="106">
        <f t="shared" si="36"/>
        <v>2.897260273972603</v>
      </c>
      <c r="N84" s="106">
        <f t="shared" si="36"/>
        <v>3.897260273972603</v>
      </c>
      <c r="O84" s="106">
        <f t="shared" si="36"/>
        <v>4.897260273972603</v>
      </c>
      <c r="P84" s="106">
        <f t="shared" si="36"/>
        <v>5.897260273972603</v>
      </c>
      <c r="Q84" s="106">
        <f t="shared" si="36"/>
        <v>6.897260273972603</v>
      </c>
    </row>
    <row r="85" spans="1:17" x14ac:dyDescent="0.2">
      <c r="B85" s="92" t="s">
        <v>8</v>
      </c>
      <c r="I85" s="71"/>
      <c r="J85" s="129">
        <f t="shared" ref="J85:Q85" si="37">$F$12</f>
        <v>0.1976848507475949</v>
      </c>
      <c r="K85" s="129">
        <f t="shared" si="37"/>
        <v>0.1976848507475949</v>
      </c>
      <c r="L85" s="129">
        <f t="shared" si="37"/>
        <v>0.1976848507475949</v>
      </c>
      <c r="M85" s="129">
        <f t="shared" si="37"/>
        <v>0.1976848507475949</v>
      </c>
      <c r="N85" s="129">
        <f t="shared" si="37"/>
        <v>0.1976848507475949</v>
      </c>
      <c r="O85" s="129">
        <f t="shared" si="37"/>
        <v>0.1976848507475949</v>
      </c>
      <c r="P85" s="129">
        <f t="shared" si="37"/>
        <v>0.1976848507475949</v>
      </c>
      <c r="Q85" s="129">
        <f t="shared" si="37"/>
        <v>0.1976848507475949</v>
      </c>
    </row>
    <row r="86" spans="1:17" x14ac:dyDescent="0.2">
      <c r="B86" s="92" t="s">
        <v>113</v>
      </c>
      <c r="I86" s="71"/>
      <c r="J86" s="96"/>
      <c r="K86" s="96"/>
      <c r="L86" s="96"/>
      <c r="M86" s="96"/>
      <c r="N86" s="96"/>
      <c r="O86" s="96"/>
      <c r="P86" s="96"/>
      <c r="Q86" s="96"/>
    </row>
    <row r="87" spans="1:17" x14ac:dyDescent="0.2">
      <c r="B87" s="181" t="s">
        <v>114</v>
      </c>
      <c r="C87" s="182"/>
      <c r="D87" s="182"/>
      <c r="E87" s="182"/>
      <c r="F87" s="182"/>
      <c r="G87" s="182"/>
      <c r="H87" s="182"/>
      <c r="I87" s="183"/>
      <c r="J87" s="184">
        <f t="shared" ref="J87:Q87" si="38">J78/(1+J85)^J84</f>
        <v>1906.9352315584908</v>
      </c>
      <c r="K87" s="184">
        <f t="shared" si="38"/>
        <v>2424.4657077154993</v>
      </c>
      <c r="L87" s="184">
        <f t="shared" si="38"/>
        <v>2533.3320236111786</v>
      </c>
      <c r="M87" s="184">
        <f t="shared" si="38"/>
        <v>2173.4694619930183</v>
      </c>
      <c r="N87" s="184">
        <f t="shared" si="38"/>
        <v>1864.8468391820691</v>
      </c>
      <c r="O87" s="184">
        <f t="shared" si="38"/>
        <v>1599.5227494307333</v>
      </c>
      <c r="P87" s="184">
        <f t="shared" si="38"/>
        <v>1371.7770279713939</v>
      </c>
      <c r="Q87" s="184">
        <f t="shared" si="38"/>
        <v>1176.3149114863372</v>
      </c>
    </row>
    <row r="88" spans="1:17" x14ac:dyDescent="0.2">
      <c r="I88" s="71"/>
      <c r="J88" s="107"/>
      <c r="K88" s="107"/>
      <c r="L88" s="107"/>
      <c r="M88" s="107"/>
      <c r="N88" s="107"/>
      <c r="O88" s="107"/>
      <c r="P88" s="107"/>
      <c r="Q88" s="107"/>
    </row>
    <row r="89" spans="1:17" x14ac:dyDescent="0.2">
      <c r="A89" t="s">
        <v>66</v>
      </c>
      <c r="B89" s="109" t="s">
        <v>233</v>
      </c>
      <c r="C89" s="110"/>
      <c r="D89" s="110"/>
      <c r="E89" s="110"/>
      <c r="F89" s="110"/>
      <c r="G89" s="110"/>
      <c r="H89" s="111">
        <v>2021</v>
      </c>
      <c r="I89" s="112">
        <f t="shared" ref="I89:Q89" si="39">H89+1</f>
        <v>2022</v>
      </c>
      <c r="J89" s="113">
        <f t="shared" si="39"/>
        <v>2023</v>
      </c>
      <c r="K89" s="113">
        <f t="shared" si="39"/>
        <v>2024</v>
      </c>
      <c r="L89" s="113">
        <f t="shared" si="39"/>
        <v>2025</v>
      </c>
      <c r="M89" s="113">
        <f t="shared" si="39"/>
        <v>2026</v>
      </c>
      <c r="N89" s="113">
        <f t="shared" si="39"/>
        <v>2027</v>
      </c>
      <c r="O89" s="113">
        <f t="shared" si="39"/>
        <v>2028</v>
      </c>
      <c r="P89" s="113">
        <f t="shared" si="39"/>
        <v>2029</v>
      </c>
      <c r="Q89" s="113">
        <f t="shared" si="39"/>
        <v>2030</v>
      </c>
    </row>
    <row r="90" spans="1:17" x14ac:dyDescent="0.2">
      <c r="I90" s="71"/>
      <c r="J90" s="107"/>
      <c r="K90" s="107"/>
      <c r="L90" s="107"/>
      <c r="M90" s="107"/>
      <c r="N90" s="107"/>
      <c r="O90" s="107"/>
      <c r="P90" s="107"/>
      <c r="Q90" s="107"/>
    </row>
    <row r="91" spans="1:17" x14ac:dyDescent="0.2">
      <c r="B91" s="70" t="s">
        <v>220</v>
      </c>
      <c r="I91" s="71"/>
      <c r="J91" s="107"/>
      <c r="K91" s="107"/>
      <c r="L91" s="107"/>
      <c r="M91" s="107"/>
      <c r="N91" s="107"/>
      <c r="O91" s="107"/>
      <c r="P91" s="107"/>
      <c r="Q91" s="107"/>
    </row>
    <row r="92" spans="1:17" x14ac:dyDescent="0.2">
      <c r="B92" s="196" t="s">
        <v>126</v>
      </c>
      <c r="I92" s="71"/>
      <c r="J92" s="107"/>
      <c r="K92" s="107"/>
      <c r="L92" s="107"/>
      <c r="M92" s="107"/>
      <c r="N92" s="107"/>
      <c r="O92" s="107"/>
      <c r="P92" s="107"/>
      <c r="Q92" s="124">
        <f>Q54*C16</f>
        <v>43975.283702495522</v>
      </c>
    </row>
    <row r="93" spans="1:17" x14ac:dyDescent="0.2">
      <c r="B93" s="196" t="s">
        <v>127</v>
      </c>
      <c r="I93" s="71"/>
      <c r="J93" s="107"/>
      <c r="K93" s="107"/>
      <c r="L93" s="107"/>
      <c r="M93" s="107"/>
      <c r="N93" s="107"/>
      <c r="O93" s="107"/>
      <c r="P93" s="107"/>
      <c r="Q93" s="124">
        <f>Q92/(1+Q85)^Q84</f>
        <v>12672.422638392211</v>
      </c>
    </row>
    <row r="94" spans="1:17" x14ac:dyDescent="0.2">
      <c r="B94" s="196" t="s">
        <v>128</v>
      </c>
      <c r="I94" s="71"/>
      <c r="J94" s="107"/>
      <c r="K94" s="107"/>
      <c r="L94" s="107"/>
      <c r="M94" s="107"/>
      <c r="N94" s="107"/>
      <c r="O94" s="107"/>
      <c r="P94" s="107"/>
      <c r="Q94" s="124">
        <f>Q93+SUM(J87:Q87)</f>
        <v>27723.086591340929</v>
      </c>
    </row>
    <row r="95" spans="1:17" x14ac:dyDescent="0.2">
      <c r="B95" s="92" t="s">
        <v>129</v>
      </c>
      <c r="I95" s="71"/>
      <c r="J95" s="107"/>
      <c r="K95" s="107"/>
      <c r="L95" s="107"/>
      <c r="M95" s="107"/>
      <c r="N95" s="107"/>
      <c r="O95" s="107"/>
      <c r="P95" s="107"/>
      <c r="Q95" s="103">
        <f>-F16</f>
        <v>-1500</v>
      </c>
    </row>
    <row r="96" spans="1:17" x14ac:dyDescent="0.2">
      <c r="B96" s="92" t="s">
        <v>130</v>
      </c>
      <c r="I96" s="71"/>
      <c r="J96" s="107"/>
      <c r="K96" s="107"/>
      <c r="L96" s="107"/>
      <c r="M96" s="107"/>
      <c r="N96" s="107"/>
      <c r="O96" s="107"/>
      <c r="P96" s="107"/>
      <c r="Q96" s="366">
        <v>0</v>
      </c>
    </row>
    <row r="97" spans="2:17" x14ac:dyDescent="0.2">
      <c r="B97" s="92" t="s">
        <v>131</v>
      </c>
      <c r="I97" s="71"/>
      <c r="J97" s="107"/>
      <c r="K97" s="107"/>
      <c r="L97" s="107"/>
      <c r="M97" s="107"/>
      <c r="N97" s="107"/>
      <c r="O97" s="107"/>
      <c r="P97" s="107"/>
      <c r="Q97" s="366">
        <v>0</v>
      </c>
    </row>
    <row r="98" spans="2:17" x14ac:dyDescent="0.2">
      <c r="B98" s="367" t="s">
        <v>132</v>
      </c>
      <c r="C98" s="88"/>
      <c r="D98" s="88"/>
      <c r="E98" s="88"/>
      <c r="F98" s="88"/>
      <c r="G98" s="88"/>
      <c r="H98" s="88"/>
      <c r="I98" s="127"/>
      <c r="J98" s="105"/>
      <c r="K98" s="105"/>
      <c r="L98" s="105"/>
      <c r="M98" s="105"/>
      <c r="N98" s="105"/>
      <c r="O98" s="105"/>
      <c r="P98" s="105"/>
      <c r="Q98" s="105">
        <f>SUM(Q94:Q97)</f>
        <v>26223.086591340929</v>
      </c>
    </row>
    <row r="99" spans="2:17" x14ac:dyDescent="0.2">
      <c r="B99" s="196" t="s">
        <v>217</v>
      </c>
      <c r="I99" s="71"/>
      <c r="J99" s="107"/>
      <c r="K99" s="107"/>
      <c r="L99" s="107"/>
      <c r="M99" s="107"/>
      <c r="N99" s="107"/>
      <c r="O99" s="107"/>
      <c r="P99" s="107"/>
      <c r="Q99" s="103">
        <f>C12</f>
        <v>10500</v>
      </c>
    </row>
    <row r="100" spans="2:17" x14ac:dyDescent="0.2">
      <c r="B100" s="91" t="s">
        <v>133</v>
      </c>
      <c r="I100" s="71"/>
      <c r="J100" s="107"/>
      <c r="K100" s="107"/>
      <c r="L100" s="107"/>
      <c r="M100" s="107"/>
      <c r="N100" s="107"/>
      <c r="O100" s="107"/>
      <c r="P100" s="107"/>
      <c r="Q100" s="96">
        <f>Q98/Q99 - 1</f>
        <v>1.4974368182229454</v>
      </c>
    </row>
    <row r="101" spans="2:17" x14ac:dyDescent="0.2">
      <c r="I101" s="71"/>
      <c r="J101" s="107"/>
      <c r="K101" s="107"/>
      <c r="L101" s="107"/>
      <c r="M101" s="107"/>
      <c r="N101" s="107"/>
      <c r="O101" s="107"/>
      <c r="P101" s="107"/>
      <c r="Q101" s="107"/>
    </row>
    <row r="102" spans="2:17" x14ac:dyDescent="0.2">
      <c r="B102" s="70" t="s">
        <v>219</v>
      </c>
      <c r="I102" s="71"/>
      <c r="J102" s="107"/>
      <c r="K102" s="107"/>
      <c r="L102" s="107"/>
      <c r="M102" s="107"/>
      <c r="N102" s="107"/>
      <c r="O102" s="107"/>
      <c r="P102" s="107"/>
      <c r="Q102" s="107"/>
    </row>
    <row r="103" spans="2:17" x14ac:dyDescent="0.2">
      <c r="B103" t="s">
        <v>135</v>
      </c>
      <c r="I103" s="71"/>
      <c r="J103" s="107"/>
      <c r="K103" s="107"/>
      <c r="L103" s="107"/>
      <c r="M103" s="107"/>
      <c r="N103" s="107"/>
      <c r="O103" s="107"/>
      <c r="P103" s="107"/>
      <c r="Q103" s="362">
        <v>0.03</v>
      </c>
    </row>
    <row r="104" spans="2:17" x14ac:dyDescent="0.2">
      <c r="B104" t="s">
        <v>136</v>
      </c>
      <c r="I104" s="71"/>
      <c r="J104" s="107"/>
      <c r="K104" s="107"/>
      <c r="L104" s="107"/>
      <c r="M104" s="107"/>
      <c r="N104" s="107"/>
      <c r="O104" s="107"/>
      <c r="P104" s="107"/>
      <c r="Q104" s="106">
        <f>Q78*(1+Q103)</f>
        <v>4204.4561592628588</v>
      </c>
    </row>
    <row r="105" spans="2:17" x14ac:dyDescent="0.2">
      <c r="B105" s="196" t="s">
        <v>126</v>
      </c>
      <c r="I105" s="71"/>
      <c r="J105" s="107"/>
      <c r="K105" s="107"/>
      <c r="L105" s="107"/>
      <c r="M105" s="107"/>
      <c r="N105" s="107"/>
      <c r="O105" s="107"/>
      <c r="P105" s="107"/>
      <c r="Q105" s="124">
        <f>Q104/(Q85-Q103)</f>
        <v>25073.559957968733</v>
      </c>
    </row>
    <row r="106" spans="2:17" x14ac:dyDescent="0.2">
      <c r="B106" s="196" t="s">
        <v>127</v>
      </c>
      <c r="I106" s="71"/>
      <c r="J106" s="107"/>
      <c r="K106" s="107"/>
      <c r="L106" s="107"/>
      <c r="M106" s="107"/>
      <c r="N106" s="107"/>
      <c r="O106" s="107"/>
      <c r="P106" s="107"/>
      <c r="Q106" s="124">
        <f>Q105/(1+Q85)^Q83</f>
        <v>6602.3070849679689</v>
      </c>
    </row>
    <row r="107" spans="2:17" x14ac:dyDescent="0.2">
      <c r="B107" s="196" t="s">
        <v>128</v>
      </c>
      <c r="I107" s="71"/>
      <c r="J107" s="107"/>
      <c r="K107" s="107"/>
      <c r="L107" s="107"/>
      <c r="M107" s="107"/>
      <c r="N107" s="107"/>
      <c r="O107" s="107"/>
      <c r="P107" s="107"/>
      <c r="Q107" s="124">
        <f>Q106+SUM(J87:Q87)</f>
        <v>21652.97103791669</v>
      </c>
    </row>
    <row r="108" spans="2:17" x14ac:dyDescent="0.2">
      <c r="B108" s="92" t="s">
        <v>129</v>
      </c>
      <c r="I108" s="71"/>
      <c r="J108" s="107"/>
      <c r="K108" s="107"/>
      <c r="L108" s="107"/>
      <c r="M108" s="107"/>
      <c r="N108" s="107"/>
      <c r="O108" s="107"/>
      <c r="P108" s="107"/>
      <c r="Q108" s="103">
        <f>-F16</f>
        <v>-1500</v>
      </c>
    </row>
    <row r="109" spans="2:17" x14ac:dyDescent="0.2">
      <c r="B109" s="92" t="s">
        <v>130</v>
      </c>
      <c r="I109" s="71"/>
      <c r="J109" s="107"/>
      <c r="K109" s="107"/>
      <c r="L109" s="107"/>
      <c r="M109" s="107"/>
      <c r="N109" s="107"/>
      <c r="O109" s="107"/>
      <c r="P109" s="107"/>
      <c r="Q109" s="366">
        <v>0</v>
      </c>
    </row>
    <row r="110" spans="2:17" x14ac:dyDescent="0.2">
      <c r="B110" s="92" t="s">
        <v>131</v>
      </c>
      <c r="I110" s="71"/>
      <c r="J110" s="107"/>
      <c r="K110" s="107"/>
      <c r="L110" s="107"/>
      <c r="M110" s="107"/>
      <c r="N110" s="107"/>
      <c r="O110" s="107"/>
      <c r="P110" s="107"/>
      <c r="Q110" s="366">
        <v>0</v>
      </c>
    </row>
    <row r="111" spans="2:17" x14ac:dyDescent="0.2">
      <c r="B111" s="367" t="s">
        <v>132</v>
      </c>
      <c r="C111" s="88"/>
      <c r="D111" s="88"/>
      <c r="E111" s="88"/>
      <c r="F111" s="88"/>
      <c r="G111" s="88"/>
      <c r="H111" s="88"/>
      <c r="I111" s="127"/>
      <c r="J111" s="105"/>
      <c r="K111" s="105"/>
      <c r="L111" s="105"/>
      <c r="M111" s="105"/>
      <c r="N111" s="105"/>
      <c r="O111" s="105"/>
      <c r="P111" s="105"/>
      <c r="Q111" s="105">
        <f>SUM(Q107:Q110)</f>
        <v>20152.97103791669</v>
      </c>
    </row>
    <row r="112" spans="2:17" x14ac:dyDescent="0.2">
      <c r="B112" s="196" t="s">
        <v>217</v>
      </c>
      <c r="I112" s="71"/>
      <c r="J112" s="107"/>
      <c r="K112" s="107"/>
      <c r="L112" s="107"/>
      <c r="M112" s="107"/>
      <c r="N112" s="107"/>
      <c r="O112" s="107"/>
      <c r="P112" s="107"/>
      <c r="Q112" s="103">
        <f>C12</f>
        <v>10500</v>
      </c>
    </row>
    <row r="113" spans="2:17" ht="16" thickBot="1" x14ac:dyDescent="0.25">
      <c r="B113" s="368" t="s">
        <v>133</v>
      </c>
      <c r="C113" s="369"/>
      <c r="D113" s="369"/>
      <c r="E113" s="369"/>
      <c r="F113" s="369"/>
      <c r="G113" s="369"/>
      <c r="H113" s="369"/>
      <c r="I113" s="370"/>
      <c r="J113" s="371"/>
      <c r="K113" s="371"/>
      <c r="L113" s="371"/>
      <c r="M113" s="371"/>
      <c r="N113" s="371"/>
      <c r="O113" s="371"/>
      <c r="P113" s="371"/>
      <c r="Q113" s="372">
        <f>Q111/Q112 - 1</f>
        <v>0.91933057503968474</v>
      </c>
    </row>
    <row r="114" spans="2:17" x14ac:dyDescent="0.2">
      <c r="B114" s="91"/>
      <c r="J114" s="107"/>
      <c r="K114" s="107"/>
      <c r="L114" s="107"/>
      <c r="M114" s="107"/>
      <c r="N114" s="107"/>
      <c r="O114" s="107"/>
      <c r="P114" s="107"/>
      <c r="Q114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58B7-4D49-4CD7-B393-3ED47A751F75}">
  <sheetPr>
    <tabColor theme="2"/>
  </sheetPr>
  <dimension ref="A2:T114"/>
  <sheetViews>
    <sheetView showGridLines="0" topLeftCell="A69" zoomScaleNormal="100" workbookViewId="0">
      <selection activeCell="F16" sqref="F16"/>
    </sheetView>
  </sheetViews>
  <sheetFormatPr baseColWidth="10" defaultColWidth="17.6640625" defaultRowHeight="15" x14ac:dyDescent="0.2"/>
  <sheetData>
    <row r="2" spans="1:17" ht="19" x14ac:dyDescent="0.25">
      <c r="A2" t="s">
        <v>66</v>
      </c>
      <c r="B2" s="65" t="s">
        <v>67</v>
      </c>
      <c r="C2" s="66"/>
      <c r="D2" s="67"/>
      <c r="E2" s="67"/>
      <c r="F2" s="67"/>
      <c r="G2" s="67"/>
      <c r="H2" s="67"/>
      <c r="I2" s="67"/>
    </row>
    <row r="3" spans="1:17" ht="16" thickBot="1" x14ac:dyDescent="0.25">
      <c r="B3" s="194" t="s">
        <v>68</v>
      </c>
      <c r="C3" s="68"/>
      <c r="D3" s="68"/>
      <c r="E3" s="68"/>
      <c r="F3" s="68"/>
      <c r="G3" s="68"/>
      <c r="H3" s="68"/>
      <c r="I3" s="334"/>
      <c r="J3" s="334"/>
      <c r="K3" s="334"/>
      <c r="L3" s="334"/>
      <c r="M3" s="334"/>
      <c r="N3" s="334"/>
      <c r="O3" s="334"/>
      <c r="P3" s="334"/>
      <c r="Q3" s="334"/>
    </row>
    <row r="4" spans="1:17" ht="16" thickTop="1" x14ac:dyDescent="0.2">
      <c r="B4" s="19" t="s">
        <v>69</v>
      </c>
      <c r="C4" s="67"/>
      <c r="D4" s="67"/>
      <c r="E4" s="67"/>
      <c r="F4" s="67"/>
      <c r="G4" s="67"/>
      <c r="H4" s="67"/>
      <c r="I4" s="67"/>
    </row>
    <row r="6" spans="1:17" x14ac:dyDescent="0.2">
      <c r="A6" t="s">
        <v>66</v>
      </c>
      <c r="B6" s="109" t="s">
        <v>70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8" spans="1:17" x14ac:dyDescent="0.2">
      <c r="B8" s="70" t="s">
        <v>71</v>
      </c>
      <c r="E8" s="70" t="s">
        <v>72</v>
      </c>
      <c r="H8" s="70" t="s">
        <v>73</v>
      </c>
    </row>
    <row r="9" spans="1:17" x14ac:dyDescent="0.2">
      <c r="B9" t="s">
        <v>74</v>
      </c>
      <c r="C9" s="375">
        <v>12000</v>
      </c>
      <c r="E9" t="s">
        <v>75</v>
      </c>
      <c r="F9" s="375">
        <v>1000</v>
      </c>
      <c r="H9" t="s">
        <v>76</v>
      </c>
      <c r="I9" s="377">
        <v>44781</v>
      </c>
    </row>
    <row r="10" spans="1:17" x14ac:dyDescent="0.2">
      <c r="B10" t="s">
        <v>77</v>
      </c>
      <c r="C10" s="380">
        <f>C9/I54</f>
        <v>3.24256542875005</v>
      </c>
      <c r="E10" t="s">
        <v>78</v>
      </c>
      <c r="F10" s="375">
        <v>200</v>
      </c>
      <c r="H10" t="s">
        <v>79</v>
      </c>
      <c r="I10" s="377">
        <v>45223</v>
      </c>
    </row>
    <row r="11" spans="1:17" x14ac:dyDescent="0.2">
      <c r="B11" t="s">
        <v>80</v>
      </c>
      <c r="C11" s="375">
        <v>250</v>
      </c>
      <c r="E11" t="s">
        <v>81</v>
      </c>
      <c r="F11" s="378">
        <v>0.26500000000000001</v>
      </c>
      <c r="H11" t="s">
        <v>82</v>
      </c>
      <c r="I11" s="377">
        <v>44926</v>
      </c>
    </row>
    <row r="12" spans="1:17" x14ac:dyDescent="0.2">
      <c r="B12" t="s">
        <v>83</v>
      </c>
      <c r="C12" s="99">
        <f>C9-F16</f>
        <v>10500</v>
      </c>
      <c r="E12" t="s">
        <v>84</v>
      </c>
      <c r="F12" s="130">
        <f>'DCF Model - Base (1)'!F12+0.01</f>
        <v>0.21768485074759492</v>
      </c>
      <c r="G12" s="137"/>
    </row>
    <row r="13" spans="1:17" x14ac:dyDescent="0.2">
      <c r="C13" s="99"/>
      <c r="E13" t="s">
        <v>85</v>
      </c>
      <c r="F13" s="130">
        <v>3.9E-2</v>
      </c>
    </row>
    <row r="15" spans="1:17" x14ac:dyDescent="0.2">
      <c r="B15" s="70" t="s">
        <v>86</v>
      </c>
      <c r="E15" s="70" t="s">
        <v>87</v>
      </c>
    </row>
    <row r="16" spans="1:17" x14ac:dyDescent="0.2">
      <c r="B16" t="s">
        <v>88</v>
      </c>
      <c r="C16" s="376">
        <v>6.5</v>
      </c>
      <c r="E16" t="s">
        <v>57</v>
      </c>
      <c r="F16" s="375">
        <v>1500</v>
      </c>
    </row>
    <row r="18" spans="1:20" x14ac:dyDescent="0.2">
      <c r="A18" t="s">
        <v>66</v>
      </c>
      <c r="B18" s="109" t="s">
        <v>89</v>
      </c>
      <c r="C18" s="110"/>
      <c r="D18" s="110"/>
      <c r="E18" s="110"/>
      <c r="F18" s="110"/>
      <c r="G18" s="110"/>
      <c r="H18" s="111">
        <v>2021</v>
      </c>
      <c r="I18" s="112">
        <f>H18+1</f>
        <v>2022</v>
      </c>
      <c r="J18" s="113">
        <f t="shared" ref="J18:Q18" si="0">I18+1</f>
        <v>2023</v>
      </c>
      <c r="K18" s="113">
        <f t="shared" si="0"/>
        <v>2024</v>
      </c>
      <c r="L18" s="113">
        <f t="shared" si="0"/>
        <v>2025</v>
      </c>
      <c r="M18" s="113">
        <f t="shared" si="0"/>
        <v>2026</v>
      </c>
      <c r="N18" s="113">
        <f t="shared" si="0"/>
        <v>2027</v>
      </c>
      <c r="O18" s="113">
        <f t="shared" si="0"/>
        <v>2028</v>
      </c>
      <c r="P18" s="113">
        <f t="shared" si="0"/>
        <v>2029</v>
      </c>
      <c r="Q18" s="113">
        <f t="shared" si="0"/>
        <v>2030</v>
      </c>
      <c r="S18" s="358" t="s">
        <v>212</v>
      </c>
      <c r="T18" s="358" t="s">
        <v>213</v>
      </c>
    </row>
    <row r="19" spans="1:20" ht="15" customHeight="1" x14ac:dyDescent="0.2">
      <c r="B19" s="70"/>
      <c r="I19" s="71"/>
    </row>
    <row r="20" spans="1:20" x14ac:dyDescent="0.2">
      <c r="B20" s="179" t="s">
        <v>31</v>
      </c>
      <c r="C20" s="175"/>
      <c r="D20" s="175"/>
      <c r="E20" s="175"/>
      <c r="F20" s="175"/>
      <c r="G20" s="176"/>
      <c r="H20" s="253">
        <f>'Original &amp; Adjusted Data'!V12</f>
        <v>13563.457150000002</v>
      </c>
      <c r="I20" s="254">
        <f>'Original &amp; Adjusted Data'!W12</f>
        <v>15755.558590000001</v>
      </c>
      <c r="J20" s="253">
        <f>'Original &amp; Adjusted Data'!X12</f>
        <v>16380.097229999998</v>
      </c>
      <c r="K20" s="253">
        <f>'Original &amp; Adjusted Data'!Y12</f>
        <v>17191.966910000003</v>
      </c>
      <c r="L20" s="253">
        <f>'Original &amp; Adjusted Data'!Z12</f>
        <v>18351.806248199999</v>
      </c>
      <c r="M20" s="253">
        <f>'Original &amp; Adjusted Data'!AA12</f>
        <v>18718.842373164</v>
      </c>
      <c r="N20" s="253">
        <f>'Original &amp; Adjusted Data'!AB12</f>
        <v>19093.219220627281</v>
      </c>
      <c r="O20" s="253">
        <f>'Original &amp; Adjusted Data'!AC12</f>
        <v>19475.083605039825</v>
      </c>
      <c r="P20" s="253">
        <f>'Original &amp; Adjusted Data'!AD12</f>
        <v>19864.585277140621</v>
      </c>
      <c r="Q20" s="253">
        <f>'Original &amp; Adjusted Data'!AE12</f>
        <v>20261.876982683436</v>
      </c>
      <c r="S20" s="174">
        <f>+(I20/H20)^(1/(COLUMNS(H20:I20)-1))-1</f>
        <v>0.16161819333797189</v>
      </c>
      <c r="T20" s="174">
        <f>+(Q20/J20)^(1/(COLUMNS(J20:Q20)-1))-1</f>
        <v>3.0848261183691772E-2</v>
      </c>
    </row>
    <row r="21" spans="1:20" x14ac:dyDescent="0.2">
      <c r="B21" s="91" t="s">
        <v>90</v>
      </c>
      <c r="I21" s="120">
        <f>I20/H20 - 1</f>
        <v>0.16161819333797189</v>
      </c>
      <c r="J21" s="119">
        <f t="shared" ref="J21:Q21" si="1">J20/I20 - 1</f>
        <v>3.9639257245781767E-2</v>
      </c>
      <c r="K21" s="119">
        <f t="shared" si="1"/>
        <v>4.9564399319502961E-2</v>
      </c>
      <c r="L21" s="119">
        <f t="shared" si="1"/>
        <v>6.746402807030516E-2</v>
      </c>
      <c r="M21" s="119">
        <f t="shared" si="1"/>
        <v>2.0000000000000018E-2</v>
      </c>
      <c r="N21" s="119">
        <f t="shared" si="1"/>
        <v>2.0000000000000018E-2</v>
      </c>
      <c r="O21" s="119">
        <f t="shared" si="1"/>
        <v>1.9999999999999796E-2</v>
      </c>
      <c r="P21" s="119">
        <f t="shared" si="1"/>
        <v>2.0000000000000018E-2</v>
      </c>
      <c r="Q21" s="119">
        <f t="shared" si="1"/>
        <v>2.000000000000024E-2</v>
      </c>
    </row>
    <row r="22" spans="1:20" x14ac:dyDescent="0.2">
      <c r="B22" s="90"/>
      <c r="I22" s="71"/>
    </row>
    <row r="23" spans="1:20" x14ac:dyDescent="0.2">
      <c r="B23" s="70" t="s">
        <v>91</v>
      </c>
      <c r="I23" s="71"/>
    </row>
    <row r="24" spans="1:20" x14ac:dyDescent="0.2">
      <c r="B24" t="s">
        <v>36</v>
      </c>
      <c r="C24" s="180"/>
      <c r="D24" s="180"/>
      <c r="E24" s="180"/>
      <c r="G24" s="180"/>
      <c r="H24" s="103">
        <f>'Original &amp; Adjusted Data'!V16</f>
        <v>4886.8441399999992</v>
      </c>
      <c r="I24" s="104">
        <f>'Original &amp; Adjusted Data'!W16</f>
        <v>5278.8393300000007</v>
      </c>
      <c r="J24" s="103">
        <f>'Original &amp; Adjusted Data'!X16</f>
        <v>5386.6709599999995</v>
      </c>
      <c r="K24" s="103">
        <f>'Original &amp; Adjusted Data'!Y16</f>
        <v>5052.2209631999986</v>
      </c>
      <c r="L24" s="103">
        <f>'Original &amp; Adjusted Data'!Z16</f>
        <v>5153.2653824640001</v>
      </c>
      <c r="M24" s="103">
        <f>'Original &amp; Adjusted Data'!AA16</f>
        <v>5256.330690113281</v>
      </c>
      <c r="N24" s="103">
        <f>'Original &amp; Adjusted Data'!AB16</f>
        <v>5361.4573039155466</v>
      </c>
      <c r="O24" s="103">
        <f>'Original &amp; Adjusted Data'!AC16</f>
        <v>5468.6864499938574</v>
      </c>
      <c r="P24" s="103">
        <f>'Original &amp; Adjusted Data'!AD16</f>
        <v>5578.0601789937318</v>
      </c>
      <c r="Q24" s="103">
        <f>'Original &amp; Adjusted Data'!AE16</f>
        <v>5689.6213825736086</v>
      </c>
      <c r="S24" s="174">
        <f>+(I24/H24)^(1/(COLUMNS(H24:I24)-1))-1</f>
        <v>8.0214383510091247E-2</v>
      </c>
      <c r="T24" s="174">
        <f>+(Q24/J24)^(1/(COLUMNS(J24:Q24)-1))-1</f>
        <v>7.8472212543945208E-3</v>
      </c>
    </row>
    <row r="25" spans="1:20" x14ac:dyDescent="0.2">
      <c r="B25" s="91" t="s">
        <v>92</v>
      </c>
      <c r="H25" s="119">
        <f>H24/H20</f>
        <v>0.36029487806506605</v>
      </c>
      <c r="I25" s="120">
        <f t="shared" ref="I25:Q25" si="2">I24/I20</f>
        <v>0.3350461552883604</v>
      </c>
      <c r="J25" s="119">
        <f t="shared" si="2"/>
        <v>0.32885463891718303</v>
      </c>
      <c r="K25" s="119">
        <f t="shared" si="2"/>
        <v>0.29387102648861474</v>
      </c>
      <c r="L25" s="119">
        <f t="shared" si="2"/>
        <v>0.2808042605053902</v>
      </c>
      <c r="M25" s="119">
        <f t="shared" si="2"/>
        <v>0.28080426050539026</v>
      </c>
      <c r="N25" s="119">
        <f t="shared" si="2"/>
        <v>0.2808042605053902</v>
      </c>
      <c r="O25" s="119">
        <f t="shared" si="2"/>
        <v>0.28080426050539026</v>
      </c>
      <c r="P25" s="119">
        <f t="shared" si="2"/>
        <v>0.28080426050539009</v>
      </c>
      <c r="Q25" s="119">
        <f t="shared" si="2"/>
        <v>0.28080426050539015</v>
      </c>
    </row>
    <row r="26" spans="1:20" x14ac:dyDescent="0.2">
      <c r="I26" s="71"/>
    </row>
    <row r="27" spans="1:20" x14ac:dyDescent="0.2">
      <c r="B27" t="s">
        <v>37</v>
      </c>
      <c r="H27" s="103">
        <f>'Original &amp; Adjusted Data'!V17</f>
        <v>1877.89807</v>
      </c>
      <c r="I27" s="104">
        <f>'Original &amp; Adjusted Data'!W17</f>
        <v>2622.0151499999997</v>
      </c>
      <c r="J27" s="103">
        <f>'Original &amp; Adjusted Data'!X17</f>
        <v>2916.1929700000005</v>
      </c>
      <c r="K27" s="103">
        <f>'Original &amp; Adjusted Data'!Y17</f>
        <v>2916.1929700000005</v>
      </c>
      <c r="L27" s="103">
        <f>'Original &amp; Adjusted Data'!Z17</f>
        <v>2974.5168294000009</v>
      </c>
      <c r="M27" s="103">
        <f>'Original &amp; Adjusted Data'!AA17</f>
        <v>3034.007165988</v>
      </c>
      <c r="N27" s="103">
        <f>'Original &amp; Adjusted Data'!AB17</f>
        <v>3094.6873093077611</v>
      </c>
      <c r="O27" s="103">
        <f>'Original &amp; Adjusted Data'!AC17</f>
        <v>3156.5810554939158</v>
      </c>
      <c r="P27" s="103">
        <f>'Original &amp; Adjusted Data'!AD17</f>
        <v>3219.7126766037941</v>
      </c>
      <c r="Q27" s="103">
        <f>'Original &amp; Adjusted Data'!AE17</f>
        <v>3284.1069301358698</v>
      </c>
      <c r="S27" s="174">
        <f>+(I27/H27)^(1/(COLUMNS(H27:I27)-1))-1</f>
        <v>0.39624998389822075</v>
      </c>
      <c r="T27" s="174">
        <f>+(Q27/J27)^(1/(COLUMNS(J27:Q27)-1))-1</f>
        <v>1.7118551961483375E-2</v>
      </c>
    </row>
    <row r="28" spans="1:20" x14ac:dyDescent="0.2">
      <c r="B28" s="91" t="s">
        <v>92</v>
      </c>
      <c r="H28" s="119">
        <f t="shared" ref="H28:Q28" si="3">H27/H20</f>
        <v>0.13845275944267643</v>
      </c>
      <c r="I28" s="120">
        <f>I27/I20</f>
        <v>0.16641841893591661</v>
      </c>
      <c r="J28" s="119">
        <f t="shared" si="3"/>
        <v>0.17803270206839919</v>
      </c>
      <c r="K28" s="119">
        <f t="shared" si="3"/>
        <v>0.16962532473836642</v>
      </c>
      <c r="L28" s="119">
        <f t="shared" si="3"/>
        <v>0.16208305543176441</v>
      </c>
      <c r="M28" s="119">
        <f t="shared" si="3"/>
        <v>0.16208305543176435</v>
      </c>
      <c r="N28" s="119">
        <f t="shared" si="3"/>
        <v>0.16208305543176441</v>
      </c>
      <c r="O28" s="119">
        <f t="shared" si="3"/>
        <v>0.16208305543176438</v>
      </c>
      <c r="P28" s="119">
        <f t="shared" si="3"/>
        <v>0.16208305543176441</v>
      </c>
      <c r="Q28" s="119">
        <f t="shared" si="3"/>
        <v>0.16208305543176435</v>
      </c>
    </row>
    <row r="29" spans="1:20" x14ac:dyDescent="0.2">
      <c r="B29" s="91"/>
      <c r="H29" s="95"/>
      <c r="I29" s="94"/>
      <c r="J29" s="95"/>
      <c r="K29" s="95"/>
      <c r="L29" s="95"/>
      <c r="M29" s="95"/>
      <c r="N29" s="95"/>
      <c r="O29" s="95"/>
      <c r="P29" s="95"/>
      <c r="Q29" s="95"/>
    </row>
    <row r="30" spans="1:20" x14ac:dyDescent="0.2">
      <c r="B30" s="179" t="s">
        <v>38</v>
      </c>
      <c r="C30" s="175"/>
      <c r="D30" s="175"/>
      <c r="E30" s="175"/>
      <c r="F30" s="175"/>
      <c r="G30" s="176"/>
      <c r="H30" s="176">
        <f>H24+H27</f>
        <v>6764.7422099999994</v>
      </c>
      <c r="I30" s="178">
        <f>I24+I27</f>
        <v>7900.85448</v>
      </c>
      <c r="J30" s="176">
        <f t="shared" ref="J30:Q30" si="4">J24+J27</f>
        <v>8302.8639299999995</v>
      </c>
      <c r="K30" s="176">
        <f t="shared" si="4"/>
        <v>7968.4139331999995</v>
      </c>
      <c r="L30" s="176">
        <f t="shared" si="4"/>
        <v>8127.7822118640015</v>
      </c>
      <c r="M30" s="176">
        <f t="shared" si="4"/>
        <v>8290.3378561012814</v>
      </c>
      <c r="N30" s="176">
        <f t="shared" si="4"/>
        <v>8456.1446132233068</v>
      </c>
      <c r="O30" s="176">
        <f t="shared" si="4"/>
        <v>8625.2675054877727</v>
      </c>
      <c r="P30" s="176">
        <f t="shared" si="4"/>
        <v>8797.7728555975264</v>
      </c>
      <c r="Q30" s="176">
        <f t="shared" si="4"/>
        <v>8973.7283127094779</v>
      </c>
    </row>
    <row r="31" spans="1:20" x14ac:dyDescent="0.2">
      <c r="I31" s="71"/>
    </row>
    <row r="32" spans="1:20" x14ac:dyDescent="0.2">
      <c r="B32" s="89" t="s">
        <v>39</v>
      </c>
      <c r="C32" s="88"/>
      <c r="D32" s="88"/>
      <c r="E32" s="88"/>
      <c r="F32" s="88"/>
      <c r="G32" s="88"/>
      <c r="H32" s="100">
        <f>H20-H30</f>
        <v>6798.7149400000026</v>
      </c>
      <c r="I32" s="101">
        <f t="shared" ref="I32:Q32" si="5">I20-I30</f>
        <v>7854.7041100000006</v>
      </c>
      <c r="J32" s="100">
        <f t="shared" si="5"/>
        <v>8077.2332999999981</v>
      </c>
      <c r="K32" s="100">
        <f t="shared" si="5"/>
        <v>9223.5529768000033</v>
      </c>
      <c r="L32" s="100">
        <f t="shared" si="5"/>
        <v>10224.024036335997</v>
      </c>
      <c r="M32" s="100">
        <f t="shared" si="5"/>
        <v>10428.504517062718</v>
      </c>
      <c r="N32" s="100">
        <f t="shared" si="5"/>
        <v>10637.074607403974</v>
      </c>
      <c r="O32" s="100">
        <f t="shared" si="5"/>
        <v>10849.816099552052</v>
      </c>
      <c r="P32" s="100">
        <f t="shared" si="5"/>
        <v>11066.812421543094</v>
      </c>
      <c r="Q32" s="100">
        <f t="shared" si="5"/>
        <v>11288.148669973958</v>
      </c>
      <c r="S32" s="174">
        <f>+(I32/H32)^(1/(COLUMNS(H32:I32)-1))-1</f>
        <v>0.15532187763706973</v>
      </c>
      <c r="T32" s="174">
        <f>+(Q32/J32)^(1/(COLUMNS(J32:Q32)-1))-1</f>
        <v>4.8976424537831686E-2</v>
      </c>
    </row>
    <row r="33" spans="2:20" x14ac:dyDescent="0.2">
      <c r="B33" s="91" t="s">
        <v>93</v>
      </c>
      <c r="H33" s="119">
        <f t="shared" ref="H33:Q33" si="6">H32/H20</f>
        <v>0.50125236249225746</v>
      </c>
      <c r="I33" s="120">
        <f>I32/I20</f>
        <v>0.49853542577572302</v>
      </c>
      <c r="J33" s="119">
        <f t="shared" si="6"/>
        <v>0.49311265901441781</v>
      </c>
      <c r="K33" s="119">
        <f t="shared" si="6"/>
        <v>0.53650364877301882</v>
      </c>
      <c r="L33" s="119">
        <f t="shared" si="6"/>
        <v>0.55711268406284531</v>
      </c>
      <c r="M33" s="119">
        <f t="shared" si="6"/>
        <v>0.55711268406284542</v>
      </c>
      <c r="N33" s="119">
        <f t="shared" si="6"/>
        <v>0.55711268406284542</v>
      </c>
      <c r="O33" s="119">
        <f t="shared" si="6"/>
        <v>0.55711268406284542</v>
      </c>
      <c r="P33" s="119">
        <f t="shared" si="6"/>
        <v>0.55711268406284553</v>
      </c>
      <c r="Q33" s="119">
        <f t="shared" si="6"/>
        <v>0.55711268406284553</v>
      </c>
    </row>
    <row r="34" spans="2:20" x14ac:dyDescent="0.2">
      <c r="I34" s="71"/>
    </row>
    <row r="35" spans="2:20" x14ac:dyDescent="0.2">
      <c r="B35" s="70" t="s">
        <v>41</v>
      </c>
      <c r="I35" s="71"/>
    </row>
    <row r="36" spans="2:20" x14ac:dyDescent="0.2">
      <c r="B36" t="s">
        <v>216</v>
      </c>
      <c r="H36" s="103">
        <f>'Original &amp; Adjusted Data'!V24</f>
        <v>3732.3637600000002</v>
      </c>
      <c r="I36" s="104">
        <f>'Original &amp; Adjusted Data'!W24</f>
        <v>4224.7069699999993</v>
      </c>
      <c r="J36" s="103">
        <f>'Original &amp; Adjusted Data'!X24</f>
        <v>4056.7653299999997</v>
      </c>
      <c r="K36" s="103">
        <f>'Original &amp; Adjusted Data'!Y24</f>
        <v>4200.9513299999981</v>
      </c>
      <c r="L36" s="103">
        <f>'Original &amp; Adjusted Data'!Z24</f>
        <v>4279.3503565999999</v>
      </c>
      <c r="M36" s="103">
        <f>'Original &amp; Adjusted Data'!AA24</f>
        <v>4361.0573637320012</v>
      </c>
      <c r="N36" s="103">
        <f>'Original &amp; Adjusted Data'!AB24</f>
        <v>4443.0985110066413</v>
      </c>
      <c r="O36" s="103">
        <f>'Original &amp; Adjusted Data'!AC24</f>
        <v>4527.5004812267744</v>
      </c>
      <c r="P36" s="103">
        <f>'Original &amp; Adjusted Data'!AD24</f>
        <v>4613.2904908513083</v>
      </c>
      <c r="Q36" s="103">
        <f>'Original &amp; Adjusted Data'!AE24</f>
        <v>4700.4963006683338</v>
      </c>
      <c r="S36" s="174">
        <f>+(I36/H36)^(1/(COLUMNS(H36:I36)-1))-1</f>
        <v>0.13191190399941055</v>
      </c>
      <c r="T36" s="174">
        <f>+(Q36/J36)^(1/(COLUMNS(J36:Q36)-1))-1</f>
        <v>2.1263216426966158E-2</v>
      </c>
    </row>
    <row r="37" spans="2:20" x14ac:dyDescent="0.2">
      <c r="B37" s="91" t="s">
        <v>92</v>
      </c>
      <c r="H37" s="114">
        <f>H36/H20</f>
        <v>0.27517790772096773</v>
      </c>
      <c r="I37" s="121">
        <f t="shared" ref="I37:Q37" si="7">I36/I20</f>
        <v>0.26814072924595683</v>
      </c>
      <c r="J37" s="114">
        <f t="shared" si="7"/>
        <v>0.24766430095238209</v>
      </c>
      <c r="K37" s="114">
        <f t="shared" si="7"/>
        <v>0.2443554802072381</v>
      </c>
      <c r="L37" s="114">
        <f t="shared" si="7"/>
        <v>0.23318415085271138</v>
      </c>
      <c r="M37" s="114">
        <f t="shared" si="7"/>
        <v>0.2329768730775878</v>
      </c>
      <c r="N37" s="114">
        <f t="shared" si="7"/>
        <v>0.23270557257345886</v>
      </c>
      <c r="O37" s="114">
        <f t="shared" si="7"/>
        <v>0.23247656200331449</v>
      </c>
      <c r="P37" s="114">
        <f t="shared" si="7"/>
        <v>0.23223693958313343</v>
      </c>
      <c r="Q37" s="114">
        <f t="shared" si="7"/>
        <v>0.23198720951102186</v>
      </c>
    </row>
    <row r="38" spans="2:20" x14ac:dyDescent="0.2">
      <c r="I38" s="71"/>
    </row>
    <row r="39" spans="2:20" x14ac:dyDescent="0.2">
      <c r="B39" t="s">
        <v>43</v>
      </c>
      <c r="H39" s="103">
        <f>'Original &amp; Adjusted Data'!V25</f>
        <v>233.78640999999999</v>
      </c>
      <c r="I39" s="104">
        <f>'Original &amp; Adjusted Data'!W25</f>
        <v>231.49663000000001</v>
      </c>
      <c r="J39" s="103">
        <f>'Original &amp; Adjusted Data'!X25</f>
        <v>273.11919999999998</v>
      </c>
      <c r="K39" s="103">
        <f>'Original &amp; Adjusted Data'!Y25</f>
        <v>273.11919999999992</v>
      </c>
      <c r="L39" s="103">
        <f>'Original &amp; Adjusted Data'!Z25</f>
        <v>277.21598800000004</v>
      </c>
      <c r="M39" s="103">
        <f>'Original &amp; Adjusted Data'!AA25</f>
        <v>281.37422781999993</v>
      </c>
      <c r="N39" s="103">
        <f>'Original &amp; Adjusted Data'!AB25</f>
        <v>285.59484123729987</v>
      </c>
      <c r="O39" s="103">
        <f>'Original &amp; Adjusted Data'!AC25</f>
        <v>289.87876385585935</v>
      </c>
      <c r="P39" s="103">
        <f>'Original &amp; Adjusted Data'!AD25</f>
        <v>294.22694531369723</v>
      </c>
      <c r="Q39" s="103">
        <f>'Original &amp; Adjusted Data'!AE25</f>
        <v>298.64034949340265</v>
      </c>
      <c r="S39" s="174">
        <f>+(I39/H39)^(1/(COLUMNS(H39:I39)-1))-1</f>
        <v>-9.7943246572800291E-3</v>
      </c>
      <c r="T39" s="174">
        <f>+(Q39/J39)^(1/(COLUMNS(J39:Q39)-1))-1</f>
        <v>1.2843445437493939E-2</v>
      </c>
    </row>
    <row r="40" spans="2:20" x14ac:dyDescent="0.2">
      <c r="B40" s="91" t="s">
        <v>92</v>
      </c>
      <c r="H40" s="114">
        <f>H39/H20</f>
        <v>1.7236491214188705E-2</v>
      </c>
      <c r="I40" s="121">
        <f t="shared" ref="I40:Q40" si="8">I39/I20</f>
        <v>1.4693013178658745E-2</v>
      </c>
      <c r="J40" s="114">
        <f t="shared" si="8"/>
        <v>1.6673844859710886E-2</v>
      </c>
      <c r="K40" s="114">
        <f t="shared" si="8"/>
        <v>1.5886442861935444E-2</v>
      </c>
      <c r="L40" s="114">
        <f t="shared" si="8"/>
        <v>1.5105651413859616E-2</v>
      </c>
      <c r="M40" s="114">
        <f t="shared" si="8"/>
        <v>1.5031604103007357E-2</v>
      </c>
      <c r="N40" s="114">
        <f t="shared" si="8"/>
        <v>1.4957919769169081E-2</v>
      </c>
      <c r="O40" s="114">
        <f t="shared" si="8"/>
        <v>1.4884596633045703E-2</v>
      </c>
      <c r="P40" s="114">
        <f t="shared" si="8"/>
        <v>1.4811632924060184E-2</v>
      </c>
      <c r="Q40" s="114">
        <f t="shared" si="8"/>
        <v>1.4739026880314789E-2</v>
      </c>
    </row>
    <row r="41" spans="2:20" x14ac:dyDescent="0.2">
      <c r="B41" s="92"/>
      <c r="I41" s="71"/>
    </row>
    <row r="42" spans="2:20" x14ac:dyDescent="0.2">
      <c r="B42" t="s">
        <v>44</v>
      </c>
      <c r="H42" s="103">
        <f>'Original &amp; Adjusted Data'!V26</f>
        <v>139.57787000000002</v>
      </c>
      <c r="I42" s="104">
        <f>'Original &amp; Adjusted Data'!W26</f>
        <v>21.188420000000001</v>
      </c>
      <c r="J42" s="103">
        <f>'Original &amp; Adjusted Data'!X26</f>
        <v>110.17088</v>
      </c>
      <c r="K42" s="103">
        <f>'Original &amp; Adjusted Data'!Y26</f>
        <v>110.17056000000001</v>
      </c>
      <c r="L42" s="103">
        <f>'Original &amp; Adjusted Data'!Z26</f>
        <v>111.82311839999996</v>
      </c>
      <c r="M42" s="103">
        <f>'Original &amp; Adjusted Data'!AA26</f>
        <v>113.50046517599998</v>
      </c>
      <c r="N42" s="103">
        <f>'Original &amp; Adjusted Data'!AB26</f>
        <v>115.20297215364</v>
      </c>
      <c r="O42" s="103">
        <f>'Original &amp; Adjusted Data'!AC26</f>
        <v>116.93101673594454</v>
      </c>
      <c r="P42" s="103">
        <f>'Original &amp; Adjusted Data'!AD26</f>
        <v>118.6849819869837</v>
      </c>
      <c r="Q42" s="103">
        <f>'Original &amp; Adjusted Data'!AE26</f>
        <v>120.46525671678843</v>
      </c>
      <c r="S42" s="174">
        <f>+(I42/H42)^(1/(COLUMNS(H42:I42)-1))-1</f>
        <v>-0.8481964225417683</v>
      </c>
      <c r="T42" s="174">
        <f>+(Q42/J42)^(1/(COLUMNS(J42:Q42)-1))-1</f>
        <v>1.2843025167888156E-2</v>
      </c>
    </row>
    <row r="43" spans="2:20" x14ac:dyDescent="0.2">
      <c r="B43" s="91" t="s">
        <v>92</v>
      </c>
      <c r="H43" s="114">
        <f>H42/H20</f>
        <v>1.0290729602076415E-2</v>
      </c>
      <c r="I43" s="121">
        <f t="shared" ref="I43:Q43" si="9">I42/I20</f>
        <v>1.3448218848583521E-3</v>
      </c>
      <c r="J43" s="114">
        <f t="shared" si="9"/>
        <v>6.7258990256921702E-3</v>
      </c>
      <c r="K43" s="114">
        <f t="shared" si="9"/>
        <v>6.4082580298544791E-3</v>
      </c>
      <c r="L43" s="114">
        <f t="shared" si="9"/>
        <v>6.0933031270950736E-3</v>
      </c>
      <c r="M43" s="114">
        <f t="shared" si="9"/>
        <v>6.0634339941191178E-3</v>
      </c>
      <c r="N43" s="114">
        <f t="shared" si="9"/>
        <v>6.0337112784616719E-3</v>
      </c>
      <c r="O43" s="114">
        <f t="shared" si="9"/>
        <v>6.0041342623907788E-3</v>
      </c>
      <c r="P43" s="114">
        <f t="shared" si="9"/>
        <v>5.9747022316927849E-3</v>
      </c>
      <c r="Q43" s="114">
        <f t="shared" si="9"/>
        <v>5.945414475655073E-3</v>
      </c>
    </row>
    <row r="44" spans="2:20" x14ac:dyDescent="0.2">
      <c r="I44" s="71"/>
    </row>
    <row r="45" spans="2:20" x14ac:dyDescent="0.2">
      <c r="B45" t="s">
        <v>45</v>
      </c>
      <c r="H45" s="103">
        <f>'Original &amp; Adjusted Data'!V27</f>
        <v>202.160416</v>
      </c>
      <c r="I45" s="104">
        <f>'Original &amp; Adjusted Data'!W27</f>
        <v>291.00544000000002</v>
      </c>
      <c r="J45" s="103">
        <f>'Original &amp; Adjusted Data'!X27</f>
        <v>320.60965999999996</v>
      </c>
      <c r="K45" s="103">
        <f>'Original &amp; Adjusted Data'!Y27</f>
        <v>176.81000000000006</v>
      </c>
      <c r="L45" s="103">
        <f>'Original &amp; Adjusted Data'!Z27</f>
        <v>179.46214999999995</v>
      </c>
      <c r="M45" s="103">
        <f>'Original &amp; Adjusted Data'!AA27</f>
        <v>182.15408224999999</v>
      </c>
      <c r="N45" s="103">
        <f>'Original &amp; Adjusted Data'!AB27</f>
        <v>184.88639348374991</v>
      </c>
      <c r="O45" s="103">
        <f>'Original &amp; Adjusted Data'!AC27</f>
        <v>187.65968938600614</v>
      </c>
      <c r="P45" s="103">
        <f>'Original &amp; Adjusted Data'!AD27</f>
        <v>190.47458472679625</v>
      </c>
      <c r="Q45" s="103">
        <f>'Original &amp; Adjusted Data'!AE27</f>
        <v>193.33170349769821</v>
      </c>
      <c r="S45" s="174">
        <f>+(I45/H45)^(1/(COLUMNS(H45:I45)-1))-1</f>
        <v>0.43947784515837185</v>
      </c>
      <c r="T45" s="174">
        <f>+(Q45/J45)^(1/(COLUMNS(J45:Q45)-1))-1</f>
        <v>-6.9710610226294434E-2</v>
      </c>
    </row>
    <row r="46" spans="2:20" x14ac:dyDescent="0.2">
      <c r="B46" s="91" t="s">
        <v>92</v>
      </c>
      <c r="H46" s="114">
        <f>H45/H20</f>
        <v>1.4904785244962415E-2</v>
      </c>
      <c r="I46" s="121">
        <f t="shared" ref="I46:Q46" si="10">I45/I20</f>
        <v>1.8470017317234324E-2</v>
      </c>
      <c r="J46" s="114">
        <f t="shared" si="10"/>
        <v>1.9573123132187904E-2</v>
      </c>
      <c r="K46" s="114">
        <f t="shared" si="10"/>
        <v>1.0284454415576818E-2</v>
      </c>
      <c r="L46" s="114">
        <f t="shared" si="10"/>
        <v>9.7789911016307809E-3</v>
      </c>
      <c r="M46" s="114">
        <f t="shared" si="10"/>
        <v>9.7310548707404357E-3</v>
      </c>
      <c r="N46" s="114">
        <f t="shared" si="10"/>
        <v>9.6833536213740551E-3</v>
      </c>
      <c r="O46" s="114">
        <f t="shared" si="10"/>
        <v>9.6358862016614373E-3</v>
      </c>
      <c r="P46" s="114">
        <f t="shared" si="10"/>
        <v>9.5886514653787842E-3</v>
      </c>
      <c r="Q46" s="114">
        <f t="shared" si="10"/>
        <v>9.5416482719210462E-3</v>
      </c>
    </row>
    <row r="47" spans="2:20" x14ac:dyDescent="0.2">
      <c r="B47" s="91"/>
      <c r="I47" s="71"/>
    </row>
    <row r="48" spans="2:20" x14ac:dyDescent="0.2">
      <c r="B48" s="89" t="s">
        <v>46</v>
      </c>
      <c r="C48" s="88"/>
      <c r="D48" s="88"/>
      <c r="E48" s="88"/>
      <c r="F48" s="88"/>
      <c r="G48" s="88"/>
      <c r="H48" s="100">
        <f>-(H36+H39+H42+H45)</f>
        <v>-4307.8884559999997</v>
      </c>
      <c r="I48" s="101">
        <f t="shared" ref="I48:Q48" si="11">-(I36+I39+I42+I45)</f>
        <v>-4768.3974599999992</v>
      </c>
      <c r="J48" s="100">
        <f t="shared" si="11"/>
        <v>-4760.6650699999991</v>
      </c>
      <c r="K48" s="100">
        <f t="shared" si="11"/>
        <v>-4761.0510899999981</v>
      </c>
      <c r="L48" s="100">
        <f t="shared" si="11"/>
        <v>-4847.8516129999998</v>
      </c>
      <c r="M48" s="100">
        <f t="shared" si="11"/>
        <v>-4938.0861389780011</v>
      </c>
      <c r="N48" s="100">
        <f t="shared" si="11"/>
        <v>-5028.7827178813313</v>
      </c>
      <c r="O48" s="100">
        <f t="shared" si="11"/>
        <v>-5121.9699512045845</v>
      </c>
      <c r="P48" s="100">
        <f t="shared" si="11"/>
        <v>-5216.6770028787851</v>
      </c>
      <c r="Q48" s="100">
        <f t="shared" si="11"/>
        <v>-5312.9336103762234</v>
      </c>
      <c r="S48" s="174">
        <f>+(I48/H48)^(1/(COLUMNS(H48:I48)-1))-1</f>
        <v>0.10689900834331167</v>
      </c>
      <c r="T48" s="174">
        <f>+(Q48/J48)^(1/(COLUMNS(J48:Q48)-1))-1</f>
        <v>1.5803107907230052E-2</v>
      </c>
    </row>
    <row r="49" spans="1:20" x14ac:dyDescent="0.2">
      <c r="B49" s="91" t="s">
        <v>92</v>
      </c>
      <c r="H49" s="122">
        <f>-H48/H20</f>
        <v>0.31760991378219522</v>
      </c>
      <c r="I49" s="123">
        <f t="shared" ref="I49:Q49" si="12">-I48/I20</f>
        <v>0.30264858162670821</v>
      </c>
      <c r="J49" s="122">
        <f t="shared" si="12"/>
        <v>0.29063716796997302</v>
      </c>
      <c r="K49" s="122">
        <f t="shared" si="12"/>
        <v>0.27693463551460484</v>
      </c>
      <c r="L49" s="122">
        <f t="shared" si="12"/>
        <v>0.26416209649529687</v>
      </c>
      <c r="M49" s="122">
        <f t="shared" si="12"/>
        <v>0.26380296604545467</v>
      </c>
      <c r="N49" s="122">
        <f t="shared" si="12"/>
        <v>0.26338055724246368</v>
      </c>
      <c r="O49" s="122">
        <f t="shared" si="12"/>
        <v>0.26300117910041243</v>
      </c>
      <c r="P49" s="122">
        <f t="shared" si="12"/>
        <v>0.26261192620426516</v>
      </c>
      <c r="Q49" s="122">
        <f t="shared" si="12"/>
        <v>0.26221329913891278</v>
      </c>
    </row>
    <row r="50" spans="1:20" x14ac:dyDescent="0.2">
      <c r="I50" s="71"/>
    </row>
    <row r="51" spans="1:20" x14ac:dyDescent="0.2">
      <c r="B51" t="s">
        <v>63</v>
      </c>
      <c r="H51" s="99">
        <f>H32+H48</f>
        <v>2490.8264840000029</v>
      </c>
      <c r="I51" s="102">
        <f t="shared" ref="I51:Q51" si="13">I32+I48</f>
        <v>3086.3066500000014</v>
      </c>
      <c r="J51" s="99">
        <f t="shared" si="13"/>
        <v>3316.5682299999989</v>
      </c>
      <c r="K51" s="99">
        <f t="shared" si="13"/>
        <v>4462.5018868000052</v>
      </c>
      <c r="L51" s="99">
        <f t="shared" si="13"/>
        <v>5376.1724233359973</v>
      </c>
      <c r="M51" s="99">
        <f t="shared" si="13"/>
        <v>5490.418378084717</v>
      </c>
      <c r="N51" s="99">
        <f t="shared" si="13"/>
        <v>5608.291889522643</v>
      </c>
      <c r="O51" s="99">
        <f t="shared" si="13"/>
        <v>5727.8461483474675</v>
      </c>
      <c r="P51" s="99">
        <f t="shared" si="13"/>
        <v>5850.1354186643093</v>
      </c>
      <c r="Q51" s="99">
        <f t="shared" si="13"/>
        <v>5975.2150595977346</v>
      </c>
      <c r="S51" s="174">
        <f>+(I51/H51)^(1/(COLUMNS(H51:I51)-1))-1</f>
        <v>0.239069308851944</v>
      </c>
      <c r="T51" s="174">
        <f>+(Q51/J51)^(1/(COLUMNS(J51:Q51)-1))-1</f>
        <v>8.7736031734452213E-2</v>
      </c>
    </row>
    <row r="52" spans="1:20" x14ac:dyDescent="0.2">
      <c r="B52" s="91" t="s">
        <v>93</v>
      </c>
      <c r="H52" s="119">
        <f>H51/H20</f>
        <v>0.18364244871006227</v>
      </c>
      <c r="I52" s="120">
        <f t="shared" ref="I52:Q52" si="14">I51/I20</f>
        <v>0.1958868441490148</v>
      </c>
      <c r="J52" s="119">
        <f t="shared" si="14"/>
        <v>0.20247549104444476</v>
      </c>
      <c r="K52" s="119">
        <f t="shared" si="14"/>
        <v>0.25956901325841397</v>
      </c>
      <c r="L52" s="119">
        <f t="shared" si="14"/>
        <v>0.29295058756754849</v>
      </c>
      <c r="M52" s="119">
        <f t="shared" si="14"/>
        <v>0.2933097180173907</v>
      </c>
      <c r="N52" s="119">
        <f t="shared" si="14"/>
        <v>0.29373212682038174</v>
      </c>
      <c r="O52" s="119">
        <f t="shared" si="14"/>
        <v>0.29411150496243299</v>
      </c>
      <c r="P52" s="119">
        <f t="shared" si="14"/>
        <v>0.29450075785858032</v>
      </c>
      <c r="Q52" s="119">
        <f t="shared" si="14"/>
        <v>0.29489938492393269</v>
      </c>
    </row>
    <row r="53" spans="1:20" x14ac:dyDescent="0.2">
      <c r="B53" s="70"/>
      <c r="I53" s="71"/>
    </row>
    <row r="54" spans="1:20" x14ac:dyDescent="0.2">
      <c r="B54" s="179" t="s">
        <v>94</v>
      </c>
      <c r="C54" s="175"/>
      <c r="D54" s="175"/>
      <c r="E54" s="175"/>
      <c r="F54" s="175"/>
      <c r="G54" s="176"/>
      <c r="H54" s="176">
        <f>H51+H68</f>
        <v>3033.3647700000029</v>
      </c>
      <c r="I54" s="178">
        <f t="shared" ref="I54:Q54" si="15">I51+I68</f>
        <v>3700.7734350100013</v>
      </c>
      <c r="J54" s="176">
        <f t="shared" si="15"/>
        <v>3955.392021969999</v>
      </c>
      <c r="K54" s="176">
        <f t="shared" si="15"/>
        <v>5132.9885962900053</v>
      </c>
      <c r="L54" s="176">
        <f t="shared" si="15"/>
        <v>6091.8928670157975</v>
      </c>
      <c r="M54" s="176">
        <f t="shared" si="15"/>
        <v>6220.4532306381134</v>
      </c>
      <c r="N54" s="176">
        <f t="shared" si="15"/>
        <v>6352.9274391271074</v>
      </c>
      <c r="O54" s="176">
        <f t="shared" si="15"/>
        <v>6487.3744089440206</v>
      </c>
      <c r="P54" s="176">
        <f t="shared" si="15"/>
        <v>6624.8542444727937</v>
      </c>
      <c r="Q54" s="176">
        <f t="shared" si="15"/>
        <v>6765.4282619223886</v>
      </c>
      <c r="S54" s="174">
        <f>+(I54/H54)^(1/(COLUMNS(H54:I54)-1))-1</f>
        <v>0.22002255436295504</v>
      </c>
      <c r="T54" s="174">
        <f>+(Q54/J54)^(1/(COLUMNS(J54:Q54)-1))-1</f>
        <v>7.9694335422388018E-2</v>
      </c>
    </row>
    <row r="55" spans="1:20" x14ac:dyDescent="0.2">
      <c r="B55" s="91" t="s">
        <v>93</v>
      </c>
      <c r="G55" s="177"/>
      <c r="H55" s="119">
        <f t="shared" ref="H55:Q55" si="16">H54/H20</f>
        <v>0.22364244871006228</v>
      </c>
      <c r="I55" s="120">
        <f t="shared" si="16"/>
        <v>0.23488684414901478</v>
      </c>
      <c r="J55" s="119">
        <f t="shared" si="16"/>
        <v>0.24147549104444477</v>
      </c>
      <c r="K55" s="119">
        <f t="shared" si="16"/>
        <v>0.29856901325841401</v>
      </c>
      <c r="L55" s="119">
        <f t="shared" si="16"/>
        <v>0.33195058756754853</v>
      </c>
      <c r="M55" s="119">
        <f t="shared" si="16"/>
        <v>0.33230971801739073</v>
      </c>
      <c r="N55" s="119">
        <f t="shared" si="16"/>
        <v>0.33273212682038178</v>
      </c>
      <c r="O55" s="119">
        <f t="shared" si="16"/>
        <v>0.33311150496243297</v>
      </c>
      <c r="P55" s="119">
        <f t="shared" si="16"/>
        <v>0.3335007578585803</v>
      </c>
      <c r="Q55" s="119">
        <f t="shared" si="16"/>
        <v>0.33389938492393267</v>
      </c>
    </row>
    <row r="56" spans="1:20" x14ac:dyDescent="0.2">
      <c r="B56" s="92"/>
      <c r="H56" s="96"/>
      <c r="I56" s="93"/>
      <c r="J56" s="96"/>
      <c r="K56" s="96"/>
      <c r="L56" s="96"/>
      <c r="M56" s="96"/>
      <c r="N56" s="96"/>
      <c r="O56" s="96"/>
      <c r="P56" s="96"/>
      <c r="Q56" s="96"/>
    </row>
    <row r="57" spans="1:20" x14ac:dyDescent="0.2">
      <c r="B57" t="s">
        <v>95</v>
      </c>
      <c r="H57" s="99">
        <f>-H51*H58</f>
        <v>-660.0690182600008</v>
      </c>
      <c r="I57" s="102">
        <f t="shared" ref="I57:Q57" si="17">-I51*I58</f>
        <v>-817.87126225000043</v>
      </c>
      <c r="J57" s="99">
        <f t="shared" si="17"/>
        <v>-878.89058094999973</v>
      </c>
      <c r="K57" s="99">
        <f t="shared" si="17"/>
        <v>-1182.5630000020014</v>
      </c>
      <c r="L57" s="99">
        <f t="shared" si="17"/>
        <v>-1424.6856921840395</v>
      </c>
      <c r="M57" s="99">
        <f t="shared" si="17"/>
        <v>-1454.9608701924501</v>
      </c>
      <c r="N57" s="99">
        <f t="shared" si="17"/>
        <v>-1486.1973507235004</v>
      </c>
      <c r="O57" s="99">
        <f t="shared" si="17"/>
        <v>-1517.8792293120789</v>
      </c>
      <c r="P57" s="99">
        <f t="shared" si="17"/>
        <v>-1550.2858859460421</v>
      </c>
      <c r="Q57" s="99">
        <f t="shared" si="17"/>
        <v>-1583.4319907933998</v>
      </c>
      <c r="S57" s="114"/>
    </row>
    <row r="58" spans="1:20" x14ac:dyDescent="0.2">
      <c r="B58" s="91" t="s">
        <v>96</v>
      </c>
      <c r="H58" s="122">
        <f>$F$11</f>
        <v>0.26500000000000001</v>
      </c>
      <c r="I58" s="123">
        <f t="shared" ref="I58:Q58" si="18">$F$11</f>
        <v>0.26500000000000001</v>
      </c>
      <c r="J58" s="122">
        <f t="shared" si="18"/>
        <v>0.26500000000000001</v>
      </c>
      <c r="K58" s="122">
        <f t="shared" si="18"/>
        <v>0.26500000000000001</v>
      </c>
      <c r="L58" s="122">
        <f t="shared" si="18"/>
        <v>0.26500000000000001</v>
      </c>
      <c r="M58" s="122">
        <f t="shared" si="18"/>
        <v>0.26500000000000001</v>
      </c>
      <c r="N58" s="122">
        <f t="shared" si="18"/>
        <v>0.26500000000000001</v>
      </c>
      <c r="O58" s="122">
        <f t="shared" si="18"/>
        <v>0.26500000000000001</v>
      </c>
      <c r="P58" s="122">
        <f t="shared" si="18"/>
        <v>0.26500000000000001</v>
      </c>
      <c r="Q58" s="122">
        <f t="shared" si="18"/>
        <v>0.26500000000000001</v>
      </c>
    </row>
    <row r="59" spans="1:20" x14ac:dyDescent="0.2">
      <c r="I59" s="71"/>
    </row>
    <row r="60" spans="1:20" x14ac:dyDescent="0.2">
      <c r="B60" s="179" t="s">
        <v>97</v>
      </c>
      <c r="C60" s="175"/>
      <c r="D60" s="175"/>
      <c r="E60" s="175"/>
      <c r="F60" s="175"/>
      <c r="G60" s="176"/>
      <c r="H60" s="176">
        <f>H51+H57</f>
        <v>1830.7574657400021</v>
      </c>
      <c r="I60" s="178">
        <f t="shared" ref="I60:Q60" si="19">I51+I57</f>
        <v>2268.4353877500007</v>
      </c>
      <c r="J60" s="176">
        <f t="shared" si="19"/>
        <v>2437.6776490499992</v>
      </c>
      <c r="K60" s="176">
        <f t="shared" si="19"/>
        <v>3279.9388867980038</v>
      </c>
      <c r="L60" s="176">
        <f t="shared" si="19"/>
        <v>3951.4867311519579</v>
      </c>
      <c r="M60" s="176">
        <f t="shared" si="19"/>
        <v>4035.4575078922671</v>
      </c>
      <c r="N60" s="176">
        <f t="shared" si="19"/>
        <v>4122.0945387991424</v>
      </c>
      <c r="O60" s="176">
        <f t="shared" si="19"/>
        <v>4209.9669190353889</v>
      </c>
      <c r="P60" s="176">
        <f t="shared" si="19"/>
        <v>4299.8495327182673</v>
      </c>
      <c r="Q60" s="176">
        <f t="shared" si="19"/>
        <v>4391.783068804335</v>
      </c>
      <c r="S60" s="174">
        <f>+(I60/H60)^(1/(COLUMNS(H60:I60)-1))-1</f>
        <v>0.23906930885194377</v>
      </c>
      <c r="T60" s="174">
        <f>+(Q60/J60)^(1/(COLUMNS(J60:Q60)-1))-1</f>
        <v>8.7736031734452213E-2</v>
      </c>
    </row>
    <row r="61" spans="1:20" x14ac:dyDescent="0.2">
      <c r="B61" s="91" t="s">
        <v>98</v>
      </c>
      <c r="H61" s="119">
        <f>H60/H20</f>
        <v>0.13497719980189576</v>
      </c>
      <c r="I61" s="120">
        <f t="shared" ref="I61:Q61" si="20">I60/I20</f>
        <v>0.14397683044952586</v>
      </c>
      <c r="J61" s="119">
        <f t="shared" si="20"/>
        <v>0.14881948591766689</v>
      </c>
      <c r="K61" s="119">
        <f t="shared" si="20"/>
        <v>0.19078322474493428</v>
      </c>
      <c r="L61" s="119">
        <f t="shared" si="20"/>
        <v>0.21531868186214814</v>
      </c>
      <c r="M61" s="119">
        <f t="shared" si="20"/>
        <v>0.21558264274278216</v>
      </c>
      <c r="N61" s="119">
        <f t="shared" si="20"/>
        <v>0.21589311321298058</v>
      </c>
      <c r="O61" s="119">
        <f t="shared" si="20"/>
        <v>0.21617195614738824</v>
      </c>
      <c r="P61" s="119">
        <f t="shared" si="20"/>
        <v>0.21645805702605653</v>
      </c>
      <c r="Q61" s="119">
        <f t="shared" si="20"/>
        <v>0.21675104791909053</v>
      </c>
    </row>
    <row r="62" spans="1:20" x14ac:dyDescent="0.2">
      <c r="I62" s="71"/>
    </row>
    <row r="63" spans="1:20" x14ac:dyDescent="0.2">
      <c r="A63" t="s">
        <v>66</v>
      </c>
      <c r="B63" s="109" t="s">
        <v>99</v>
      </c>
      <c r="C63" s="110"/>
      <c r="D63" s="110"/>
      <c r="E63" s="110"/>
      <c r="F63" s="110"/>
      <c r="G63" s="110"/>
      <c r="H63" s="111">
        <v>2021</v>
      </c>
      <c r="I63" s="112">
        <f t="shared" ref="I63:Q63" si="21">H63+1</f>
        <v>2022</v>
      </c>
      <c r="J63" s="113">
        <f t="shared" si="21"/>
        <v>2023</v>
      </c>
      <c r="K63" s="113">
        <f t="shared" si="21"/>
        <v>2024</v>
      </c>
      <c r="L63" s="113">
        <f t="shared" si="21"/>
        <v>2025</v>
      </c>
      <c r="M63" s="113">
        <f t="shared" si="21"/>
        <v>2026</v>
      </c>
      <c r="N63" s="113">
        <f t="shared" si="21"/>
        <v>2027</v>
      </c>
      <c r="O63" s="113">
        <f t="shared" si="21"/>
        <v>2028</v>
      </c>
      <c r="P63" s="113">
        <f t="shared" si="21"/>
        <v>2029</v>
      </c>
      <c r="Q63" s="113">
        <f t="shared" si="21"/>
        <v>2030</v>
      </c>
    </row>
    <row r="64" spans="1:20" x14ac:dyDescent="0.2">
      <c r="B64" s="98"/>
      <c r="I64" s="71"/>
    </row>
    <row r="65" spans="1:20" x14ac:dyDescent="0.2">
      <c r="B65" t="s">
        <v>75</v>
      </c>
      <c r="H65" s="99">
        <f>I65</f>
        <v>-1000</v>
      </c>
      <c r="I65" s="102">
        <f>J65</f>
        <v>-1000</v>
      </c>
      <c r="J65" s="99">
        <f>-F9</f>
        <v>-1000</v>
      </c>
      <c r="K65" s="99">
        <f t="shared" ref="K65:Q65" si="22">J65</f>
        <v>-1000</v>
      </c>
      <c r="L65" s="99">
        <f t="shared" si="22"/>
        <v>-1000</v>
      </c>
      <c r="M65" s="99">
        <f t="shared" si="22"/>
        <v>-1000</v>
      </c>
      <c r="N65" s="99">
        <f t="shared" si="22"/>
        <v>-1000</v>
      </c>
      <c r="O65" s="99">
        <f t="shared" si="22"/>
        <v>-1000</v>
      </c>
      <c r="P65" s="99">
        <f t="shared" si="22"/>
        <v>-1000</v>
      </c>
      <c r="Q65" s="99">
        <f t="shared" si="22"/>
        <v>-1000</v>
      </c>
    </row>
    <row r="66" spans="1:20" x14ac:dyDescent="0.2">
      <c r="B66" s="91" t="s">
        <v>100</v>
      </c>
      <c r="H66" s="119">
        <f>-H65/H20</f>
        <v>7.3727515701997842E-2</v>
      </c>
      <c r="I66" s="120">
        <f t="shared" ref="I66:Q66" si="23">-I65/I20</f>
        <v>6.3469663375483029E-2</v>
      </c>
      <c r="J66" s="119">
        <f t="shared" si="23"/>
        <v>6.1049698665311292E-2</v>
      </c>
      <c r="K66" s="119">
        <f t="shared" si="23"/>
        <v>5.8166701066550613E-2</v>
      </c>
      <c r="L66" s="119">
        <f t="shared" si="23"/>
        <v>5.4490549130447749E-2</v>
      </c>
      <c r="M66" s="119">
        <f t="shared" si="23"/>
        <v>5.3422106990635043E-2</v>
      </c>
      <c r="N66" s="119">
        <f t="shared" si="23"/>
        <v>5.2374614696701023E-2</v>
      </c>
      <c r="O66" s="119">
        <f t="shared" si="23"/>
        <v>5.134766146735395E-2</v>
      </c>
      <c r="P66" s="119">
        <f t="shared" si="23"/>
        <v>5.0340844575837207E-2</v>
      </c>
      <c r="Q66" s="119">
        <f t="shared" si="23"/>
        <v>4.935376919199725E-2</v>
      </c>
    </row>
    <row r="67" spans="1:20" x14ac:dyDescent="0.2">
      <c r="H67" s="119"/>
      <c r="I67" s="120"/>
      <c r="J67" s="119"/>
      <c r="K67" s="119"/>
      <c r="L67" s="119"/>
      <c r="M67" s="119"/>
      <c r="N67" s="119"/>
      <c r="O67" s="119"/>
      <c r="P67" s="119"/>
      <c r="Q67" s="119"/>
    </row>
    <row r="68" spans="1:20" x14ac:dyDescent="0.2">
      <c r="B68" t="s">
        <v>101</v>
      </c>
      <c r="H68" s="99">
        <f t="shared" ref="H68:Q68" si="24">H69*H20</f>
        <v>542.53828600000008</v>
      </c>
      <c r="I68" s="102">
        <f t="shared" si="24"/>
        <v>614.46678500999997</v>
      </c>
      <c r="J68" s="99">
        <f t="shared" si="24"/>
        <v>638.82379196999989</v>
      </c>
      <c r="K68" s="99">
        <f t="shared" si="24"/>
        <v>670.48670949000007</v>
      </c>
      <c r="L68" s="99">
        <f t="shared" si="24"/>
        <v>715.72044367979993</v>
      </c>
      <c r="M68" s="99">
        <f t="shared" si="24"/>
        <v>730.03485255339604</v>
      </c>
      <c r="N68" s="99">
        <f t="shared" si="24"/>
        <v>744.63554960446402</v>
      </c>
      <c r="O68" s="99">
        <f t="shared" si="24"/>
        <v>759.5282605965532</v>
      </c>
      <c r="P68" s="99">
        <f t="shared" si="24"/>
        <v>774.71882580848421</v>
      </c>
      <c r="Q68" s="99">
        <f t="shared" si="24"/>
        <v>790.21320232465405</v>
      </c>
    </row>
    <row r="69" spans="1:20" x14ac:dyDescent="0.2">
      <c r="B69" s="91" t="s">
        <v>102</v>
      </c>
      <c r="D69" s="126"/>
      <c r="H69" s="119">
        <v>0.04</v>
      </c>
      <c r="I69" s="120">
        <v>3.9E-2</v>
      </c>
      <c r="J69" s="119">
        <f>I69</f>
        <v>3.9E-2</v>
      </c>
      <c r="K69" s="119">
        <f t="shared" ref="K69:Q69" si="25">J69</f>
        <v>3.9E-2</v>
      </c>
      <c r="L69" s="119">
        <f t="shared" si="25"/>
        <v>3.9E-2</v>
      </c>
      <c r="M69" s="119">
        <f t="shared" si="25"/>
        <v>3.9E-2</v>
      </c>
      <c r="N69" s="119">
        <f t="shared" si="25"/>
        <v>3.9E-2</v>
      </c>
      <c r="O69" s="119">
        <f t="shared" si="25"/>
        <v>3.9E-2</v>
      </c>
      <c r="P69" s="119">
        <f t="shared" si="25"/>
        <v>3.9E-2</v>
      </c>
      <c r="Q69" s="119">
        <f t="shared" si="25"/>
        <v>3.9E-2</v>
      </c>
    </row>
    <row r="70" spans="1:20" x14ac:dyDescent="0.2">
      <c r="B70" s="91" t="s">
        <v>103</v>
      </c>
      <c r="H70" s="119">
        <f>-H68/H65</f>
        <v>0.54253828600000009</v>
      </c>
      <c r="I70" s="120">
        <f t="shared" ref="I70:Q70" si="26">-I68/I65</f>
        <v>0.61446678500999996</v>
      </c>
      <c r="J70" s="119">
        <f t="shared" si="26"/>
        <v>0.63882379196999994</v>
      </c>
      <c r="K70" s="119">
        <f t="shared" si="26"/>
        <v>0.67048670949000011</v>
      </c>
      <c r="L70" s="119">
        <f t="shared" si="26"/>
        <v>0.71572044367979992</v>
      </c>
      <c r="M70" s="119">
        <f t="shared" si="26"/>
        <v>0.73003485255339606</v>
      </c>
      <c r="N70" s="119">
        <f t="shared" si="26"/>
        <v>0.74463554960446399</v>
      </c>
      <c r="O70" s="119">
        <f t="shared" si="26"/>
        <v>0.75952826059655321</v>
      </c>
      <c r="P70" s="119">
        <f t="shared" si="26"/>
        <v>0.77471882580848417</v>
      </c>
      <c r="Q70" s="119">
        <f t="shared" si="26"/>
        <v>0.79021320232465408</v>
      </c>
    </row>
    <row r="71" spans="1:20" x14ac:dyDescent="0.2">
      <c r="B71" s="98" t="s">
        <v>104</v>
      </c>
      <c r="I71" s="71"/>
    </row>
    <row r="72" spans="1:20" x14ac:dyDescent="0.2">
      <c r="A72" t="s">
        <v>66</v>
      </c>
      <c r="B72" s="109" t="s">
        <v>104</v>
      </c>
      <c r="C72" s="110"/>
      <c r="D72" s="110"/>
      <c r="E72" s="110"/>
      <c r="F72" s="110"/>
      <c r="G72" s="110"/>
      <c r="H72" s="111">
        <v>2021</v>
      </c>
      <c r="I72" s="112">
        <f t="shared" ref="I72:Q72" si="27">H72+1</f>
        <v>2022</v>
      </c>
      <c r="J72" s="113">
        <f t="shared" si="27"/>
        <v>2023</v>
      </c>
      <c r="K72" s="113">
        <f t="shared" si="27"/>
        <v>2024</v>
      </c>
      <c r="L72" s="113">
        <f t="shared" si="27"/>
        <v>2025</v>
      </c>
      <c r="M72" s="113">
        <f t="shared" si="27"/>
        <v>2026</v>
      </c>
      <c r="N72" s="113">
        <f t="shared" si="27"/>
        <v>2027</v>
      </c>
      <c r="O72" s="113">
        <f t="shared" si="27"/>
        <v>2028</v>
      </c>
      <c r="P72" s="113">
        <f t="shared" si="27"/>
        <v>2029</v>
      </c>
      <c r="Q72" s="113">
        <f t="shared" si="27"/>
        <v>2030</v>
      </c>
    </row>
    <row r="73" spans="1:20" x14ac:dyDescent="0.2">
      <c r="B73" s="98"/>
      <c r="I73" s="71"/>
    </row>
    <row r="74" spans="1:20" x14ac:dyDescent="0.2">
      <c r="B74" s="70" t="s">
        <v>97</v>
      </c>
      <c r="H74" s="124">
        <f t="shared" ref="H74:Q74" si="28">H60</f>
        <v>1830.7574657400021</v>
      </c>
      <c r="I74" s="125">
        <f t="shared" si="28"/>
        <v>2268.4353877500007</v>
      </c>
      <c r="J74" s="124">
        <f t="shared" si="28"/>
        <v>2437.6776490499992</v>
      </c>
      <c r="K74" s="124">
        <f t="shared" si="28"/>
        <v>3279.9388867980038</v>
      </c>
      <c r="L74" s="124">
        <f t="shared" si="28"/>
        <v>3951.4867311519579</v>
      </c>
      <c r="M74" s="124">
        <f t="shared" si="28"/>
        <v>4035.4575078922671</v>
      </c>
      <c r="N74" s="124">
        <f t="shared" si="28"/>
        <v>4122.0945387991424</v>
      </c>
      <c r="O74" s="124">
        <f t="shared" si="28"/>
        <v>4209.9669190353889</v>
      </c>
      <c r="P74" s="124">
        <f t="shared" si="28"/>
        <v>4299.8495327182673</v>
      </c>
      <c r="Q74" s="124">
        <f t="shared" si="28"/>
        <v>4391.783068804335</v>
      </c>
    </row>
    <row r="75" spans="1:20" x14ac:dyDescent="0.2">
      <c r="B75" s="92" t="s">
        <v>105</v>
      </c>
      <c r="H75" s="124">
        <f t="shared" ref="H75:Q75" si="29">H68</f>
        <v>542.53828600000008</v>
      </c>
      <c r="I75" s="125">
        <f t="shared" si="29"/>
        <v>614.46678500999997</v>
      </c>
      <c r="J75" s="124">
        <f t="shared" si="29"/>
        <v>638.82379196999989</v>
      </c>
      <c r="K75" s="124">
        <f t="shared" si="29"/>
        <v>670.48670949000007</v>
      </c>
      <c r="L75" s="124">
        <f t="shared" si="29"/>
        <v>715.72044367979993</v>
      </c>
      <c r="M75" s="124">
        <f t="shared" si="29"/>
        <v>730.03485255339604</v>
      </c>
      <c r="N75" s="124">
        <f t="shared" si="29"/>
        <v>744.63554960446402</v>
      </c>
      <c r="O75" s="124">
        <f t="shared" si="29"/>
        <v>759.5282605965532</v>
      </c>
      <c r="P75" s="124">
        <f t="shared" si="29"/>
        <v>774.71882580848421</v>
      </c>
      <c r="Q75" s="124">
        <f t="shared" si="29"/>
        <v>790.21320232465405</v>
      </c>
    </row>
    <row r="76" spans="1:20" x14ac:dyDescent="0.2">
      <c r="B76" s="92" t="s">
        <v>106</v>
      </c>
      <c r="H76" s="99">
        <f t="shared" ref="H76:Q76" si="30">H65</f>
        <v>-1000</v>
      </c>
      <c r="I76" s="102">
        <f t="shared" si="30"/>
        <v>-1000</v>
      </c>
      <c r="J76" s="99">
        <f t="shared" si="30"/>
        <v>-1000</v>
      </c>
      <c r="K76" s="99">
        <f t="shared" si="30"/>
        <v>-1000</v>
      </c>
      <c r="L76" s="99">
        <f t="shared" si="30"/>
        <v>-1000</v>
      </c>
      <c r="M76" s="99">
        <f t="shared" si="30"/>
        <v>-1000</v>
      </c>
      <c r="N76" s="99">
        <f t="shared" si="30"/>
        <v>-1000</v>
      </c>
      <c r="O76" s="99">
        <f t="shared" si="30"/>
        <v>-1000</v>
      </c>
      <c r="P76" s="99">
        <f t="shared" si="30"/>
        <v>-1000</v>
      </c>
      <c r="Q76" s="99">
        <f t="shared" si="30"/>
        <v>-1000</v>
      </c>
    </row>
    <row r="77" spans="1:20" x14ac:dyDescent="0.2">
      <c r="B77" s="92" t="s">
        <v>107</v>
      </c>
      <c r="H77" s="373"/>
      <c r="I77" s="374"/>
      <c r="J77" s="99">
        <f>-F10</f>
        <v>-200</v>
      </c>
      <c r="K77" s="99">
        <f t="shared" ref="K77:Q77" si="31">J77</f>
        <v>-200</v>
      </c>
      <c r="L77" s="99">
        <f t="shared" si="31"/>
        <v>-200</v>
      </c>
      <c r="M77" s="99">
        <f t="shared" si="31"/>
        <v>-200</v>
      </c>
      <c r="N77" s="99">
        <f t="shared" si="31"/>
        <v>-200</v>
      </c>
      <c r="O77" s="99">
        <f t="shared" si="31"/>
        <v>-200</v>
      </c>
      <c r="P77" s="99">
        <f t="shared" si="31"/>
        <v>-200</v>
      </c>
      <c r="Q77" s="99">
        <f t="shared" si="31"/>
        <v>-200</v>
      </c>
    </row>
    <row r="78" spans="1:20" x14ac:dyDescent="0.2">
      <c r="B78" s="181" t="s">
        <v>108</v>
      </c>
      <c r="C78" s="182"/>
      <c r="D78" s="182"/>
      <c r="E78" s="182"/>
      <c r="F78" s="182"/>
      <c r="G78" s="182"/>
      <c r="H78" s="182"/>
      <c r="I78" s="183"/>
      <c r="J78" s="184">
        <f>SUM(J74:J77)</f>
        <v>1876.5014410199992</v>
      </c>
      <c r="K78" s="184">
        <f t="shared" ref="K78:Q78" si="32">SUM(K74:K77)</f>
        <v>2750.4255962880038</v>
      </c>
      <c r="L78" s="184">
        <f t="shared" si="32"/>
        <v>3467.2071748317576</v>
      </c>
      <c r="M78" s="184">
        <f t="shared" si="32"/>
        <v>3565.4923604456635</v>
      </c>
      <c r="N78" s="184">
        <f t="shared" si="32"/>
        <v>3666.7300884036067</v>
      </c>
      <c r="O78" s="184">
        <f t="shared" si="32"/>
        <v>3769.4951796319419</v>
      </c>
      <c r="P78" s="184">
        <f t="shared" si="32"/>
        <v>3874.5683585267516</v>
      </c>
      <c r="Q78" s="184">
        <f t="shared" si="32"/>
        <v>3981.9962711289891</v>
      </c>
      <c r="T78" s="174">
        <f>+(Q78/J78)^(1/(COLUMNS(J78:Q78)-1))-1</f>
        <v>0.11347084381062622</v>
      </c>
    </row>
    <row r="79" spans="1:20" x14ac:dyDescent="0.2">
      <c r="B79" s="91" t="s">
        <v>92</v>
      </c>
      <c r="I79" s="71"/>
      <c r="J79" s="95">
        <f t="shared" ref="J79:Q79" si="33">J78/J20</f>
        <v>0.11455984751929335</v>
      </c>
      <c r="K79" s="95">
        <f t="shared" si="33"/>
        <v>0.15998318346507354</v>
      </c>
      <c r="L79" s="95">
        <f t="shared" si="33"/>
        <v>0.18893002290561081</v>
      </c>
      <c r="M79" s="95">
        <f t="shared" si="33"/>
        <v>0.19047611435402012</v>
      </c>
      <c r="N79" s="95">
        <f t="shared" si="33"/>
        <v>0.19204357557693938</v>
      </c>
      <c r="O79" s="95">
        <f t="shared" si="33"/>
        <v>0.19355476238656352</v>
      </c>
      <c r="P79" s="95">
        <f t="shared" si="33"/>
        <v>0.19504904353505187</v>
      </c>
      <c r="Q79" s="95">
        <f t="shared" si="33"/>
        <v>0.19652652488869385</v>
      </c>
    </row>
    <row r="80" spans="1:20" x14ac:dyDescent="0.2">
      <c r="B80" s="70"/>
      <c r="I80" s="71"/>
      <c r="J80" s="107"/>
      <c r="K80" s="107"/>
      <c r="L80" s="107"/>
      <c r="M80" s="107"/>
      <c r="N80" s="107"/>
      <c r="O80" s="107"/>
      <c r="P80" s="107"/>
      <c r="Q80" s="107"/>
    </row>
    <row r="81" spans="1:17" x14ac:dyDescent="0.2">
      <c r="B81" s="92" t="s">
        <v>109</v>
      </c>
      <c r="E81" s="189">
        <f>I9</f>
        <v>44781</v>
      </c>
      <c r="I81" s="71"/>
      <c r="J81" s="107"/>
      <c r="K81" s="107"/>
      <c r="L81" s="107"/>
      <c r="M81" s="107"/>
      <c r="N81" s="107"/>
      <c r="O81" s="107"/>
      <c r="P81" s="107"/>
      <c r="Q81" s="107"/>
    </row>
    <row r="82" spans="1:17" x14ac:dyDescent="0.2">
      <c r="B82" s="92" t="s">
        <v>110</v>
      </c>
      <c r="H82" s="108"/>
      <c r="I82" s="128"/>
      <c r="J82" s="108">
        <f>I11</f>
        <v>44926</v>
      </c>
      <c r="K82" s="108">
        <f t="shared" ref="K82:Q82" si="34">EOMONTH(J82,12)</f>
        <v>45291</v>
      </c>
      <c r="L82" s="108">
        <f t="shared" si="34"/>
        <v>45657</v>
      </c>
      <c r="M82" s="108">
        <f t="shared" si="34"/>
        <v>46022</v>
      </c>
      <c r="N82" s="108">
        <f t="shared" si="34"/>
        <v>46387</v>
      </c>
      <c r="O82" s="108">
        <f t="shared" si="34"/>
        <v>46752</v>
      </c>
      <c r="P82" s="108">
        <f t="shared" si="34"/>
        <v>47118</v>
      </c>
      <c r="Q82" s="108">
        <f t="shared" si="34"/>
        <v>47483</v>
      </c>
    </row>
    <row r="83" spans="1:17" x14ac:dyDescent="0.2">
      <c r="B83" s="92" t="s">
        <v>111</v>
      </c>
      <c r="I83" s="71"/>
      <c r="J83" s="106">
        <f>(J82-E81)/365</f>
        <v>0.39726027397260272</v>
      </c>
      <c r="K83" s="106">
        <f t="shared" ref="K83:Q83" si="35">J83+1</f>
        <v>1.3972602739726028</v>
      </c>
      <c r="L83" s="106">
        <f t="shared" si="35"/>
        <v>2.397260273972603</v>
      </c>
      <c r="M83" s="106">
        <f t="shared" si="35"/>
        <v>3.397260273972603</v>
      </c>
      <c r="N83" s="106">
        <f t="shared" si="35"/>
        <v>4.397260273972603</v>
      </c>
      <c r="O83" s="106">
        <f t="shared" si="35"/>
        <v>5.397260273972603</v>
      </c>
      <c r="P83" s="106">
        <f t="shared" si="35"/>
        <v>6.397260273972603</v>
      </c>
      <c r="Q83" s="106">
        <f t="shared" si="35"/>
        <v>7.397260273972603</v>
      </c>
    </row>
    <row r="84" spans="1:17" x14ac:dyDescent="0.2">
      <c r="B84" s="92" t="s">
        <v>112</v>
      </c>
      <c r="I84" s="71"/>
      <c r="J84" s="106">
        <f>J83/2</f>
        <v>0.19863013698630136</v>
      </c>
      <c r="K84" s="106">
        <f t="shared" ref="K84:Q84" si="36">K83-0.5</f>
        <v>0.89726027397260277</v>
      </c>
      <c r="L84" s="106">
        <f t="shared" si="36"/>
        <v>1.897260273972603</v>
      </c>
      <c r="M84" s="106">
        <f t="shared" si="36"/>
        <v>2.897260273972603</v>
      </c>
      <c r="N84" s="106">
        <f t="shared" si="36"/>
        <v>3.897260273972603</v>
      </c>
      <c r="O84" s="106">
        <f t="shared" si="36"/>
        <v>4.897260273972603</v>
      </c>
      <c r="P84" s="106">
        <f t="shared" si="36"/>
        <v>5.897260273972603</v>
      </c>
      <c r="Q84" s="106">
        <f t="shared" si="36"/>
        <v>6.897260273972603</v>
      </c>
    </row>
    <row r="85" spans="1:17" x14ac:dyDescent="0.2">
      <c r="B85" s="92" t="s">
        <v>8</v>
      </c>
      <c r="I85" s="71"/>
      <c r="J85" s="129">
        <f t="shared" ref="J85:Q85" si="37">$F$12</f>
        <v>0.21768485074759492</v>
      </c>
      <c r="K85" s="129">
        <f t="shared" si="37"/>
        <v>0.21768485074759492</v>
      </c>
      <c r="L85" s="129">
        <f t="shared" si="37"/>
        <v>0.21768485074759492</v>
      </c>
      <c r="M85" s="129">
        <f t="shared" si="37"/>
        <v>0.21768485074759492</v>
      </c>
      <c r="N85" s="129">
        <f t="shared" si="37"/>
        <v>0.21768485074759492</v>
      </c>
      <c r="O85" s="129">
        <f t="shared" si="37"/>
        <v>0.21768485074759492</v>
      </c>
      <c r="P85" s="129">
        <f t="shared" si="37"/>
        <v>0.21768485074759492</v>
      </c>
      <c r="Q85" s="129">
        <f t="shared" si="37"/>
        <v>0.21768485074759492</v>
      </c>
    </row>
    <row r="86" spans="1:17" x14ac:dyDescent="0.2">
      <c r="B86" s="92" t="s">
        <v>113</v>
      </c>
      <c r="I86" s="71"/>
      <c r="J86" s="96"/>
      <c r="K86" s="96"/>
      <c r="L86" s="96"/>
      <c r="M86" s="96"/>
      <c r="N86" s="96"/>
      <c r="O86" s="96"/>
      <c r="P86" s="96"/>
      <c r="Q86" s="96"/>
    </row>
    <row r="87" spans="1:17" x14ac:dyDescent="0.2">
      <c r="B87" s="181" t="s">
        <v>114</v>
      </c>
      <c r="C87" s="182"/>
      <c r="D87" s="182"/>
      <c r="E87" s="182"/>
      <c r="F87" s="182"/>
      <c r="G87" s="182"/>
      <c r="H87" s="182"/>
      <c r="I87" s="183"/>
      <c r="J87" s="184">
        <f t="shared" ref="J87:Q87" si="38">J78/(1+J85)^J84</f>
        <v>1804.509167485844</v>
      </c>
      <c r="K87" s="184">
        <f t="shared" si="38"/>
        <v>2304.9039413040186</v>
      </c>
      <c r="L87" s="184">
        <f t="shared" si="38"/>
        <v>2386.1504287336479</v>
      </c>
      <c r="M87" s="184">
        <f t="shared" si="38"/>
        <v>2015.1279824159342</v>
      </c>
      <c r="N87" s="184">
        <f t="shared" si="38"/>
        <v>1701.8730567477248</v>
      </c>
      <c r="O87" s="184">
        <f t="shared" si="38"/>
        <v>1436.8006300927943</v>
      </c>
      <c r="P87" s="184">
        <f t="shared" si="38"/>
        <v>1212.8350576856471</v>
      </c>
      <c r="Q87" s="184">
        <f t="shared" si="38"/>
        <v>1023.6331938035966</v>
      </c>
    </row>
    <row r="88" spans="1:17" x14ac:dyDescent="0.2">
      <c r="I88" s="71"/>
      <c r="J88" s="107"/>
      <c r="K88" s="107"/>
      <c r="L88" s="107"/>
      <c r="M88" s="107"/>
      <c r="N88" s="107"/>
      <c r="O88" s="107"/>
      <c r="P88" s="107"/>
      <c r="Q88" s="107"/>
    </row>
    <row r="89" spans="1:17" x14ac:dyDescent="0.2">
      <c r="A89" t="s">
        <v>66</v>
      </c>
      <c r="B89" s="109" t="s">
        <v>233</v>
      </c>
      <c r="C89" s="110"/>
      <c r="D89" s="110"/>
      <c r="E89" s="110"/>
      <c r="F89" s="110"/>
      <c r="G89" s="110"/>
      <c r="H89" s="111">
        <v>2021</v>
      </c>
      <c r="I89" s="112">
        <f t="shared" ref="I89:Q89" si="39">H89+1</f>
        <v>2022</v>
      </c>
      <c r="J89" s="113">
        <f t="shared" si="39"/>
        <v>2023</v>
      </c>
      <c r="K89" s="113">
        <f t="shared" si="39"/>
        <v>2024</v>
      </c>
      <c r="L89" s="113">
        <f t="shared" si="39"/>
        <v>2025</v>
      </c>
      <c r="M89" s="113">
        <f t="shared" si="39"/>
        <v>2026</v>
      </c>
      <c r="N89" s="113">
        <f t="shared" si="39"/>
        <v>2027</v>
      </c>
      <c r="O89" s="113">
        <f t="shared" si="39"/>
        <v>2028</v>
      </c>
      <c r="P89" s="113">
        <f t="shared" si="39"/>
        <v>2029</v>
      </c>
      <c r="Q89" s="113">
        <f t="shared" si="39"/>
        <v>2030</v>
      </c>
    </row>
    <row r="90" spans="1:17" x14ac:dyDescent="0.2">
      <c r="I90" s="71"/>
      <c r="J90" s="107"/>
      <c r="K90" s="107"/>
      <c r="L90" s="107"/>
      <c r="M90" s="107"/>
      <c r="N90" s="107"/>
      <c r="O90" s="107"/>
      <c r="P90" s="107"/>
      <c r="Q90" s="107"/>
    </row>
    <row r="91" spans="1:17" x14ac:dyDescent="0.2">
      <c r="B91" s="70" t="s">
        <v>220</v>
      </c>
      <c r="I91" s="71"/>
      <c r="J91" s="107"/>
      <c r="K91" s="107"/>
      <c r="L91" s="107"/>
      <c r="M91" s="107"/>
      <c r="N91" s="107"/>
      <c r="O91" s="107"/>
      <c r="P91" s="107"/>
      <c r="Q91" s="107"/>
    </row>
    <row r="92" spans="1:17" x14ac:dyDescent="0.2">
      <c r="B92" s="196" t="s">
        <v>126</v>
      </c>
      <c r="I92" s="71"/>
      <c r="J92" s="107"/>
      <c r="K92" s="107"/>
      <c r="L92" s="107"/>
      <c r="M92" s="107"/>
      <c r="N92" s="107"/>
      <c r="O92" s="107"/>
      <c r="P92" s="107"/>
      <c r="Q92" s="124">
        <f>Q54*C16</f>
        <v>43975.283702495522</v>
      </c>
    </row>
    <row r="93" spans="1:17" x14ac:dyDescent="0.2">
      <c r="B93" s="196" t="s">
        <v>127</v>
      </c>
      <c r="I93" s="71"/>
      <c r="J93" s="107"/>
      <c r="K93" s="107"/>
      <c r="L93" s="107"/>
      <c r="M93" s="107"/>
      <c r="N93" s="107"/>
      <c r="O93" s="107"/>
      <c r="P93" s="107"/>
      <c r="Q93" s="124">
        <f>Q92/(1+Q85)^Q84</f>
        <v>11304.520908564804</v>
      </c>
    </row>
    <row r="94" spans="1:17" x14ac:dyDescent="0.2">
      <c r="B94" s="196" t="s">
        <v>128</v>
      </c>
      <c r="I94" s="71"/>
      <c r="J94" s="107"/>
      <c r="K94" s="107"/>
      <c r="L94" s="107"/>
      <c r="M94" s="107"/>
      <c r="N94" s="107"/>
      <c r="O94" s="107"/>
      <c r="P94" s="107"/>
      <c r="Q94" s="124">
        <f>Q93+SUM(J87:Q87)</f>
        <v>25190.35436683401</v>
      </c>
    </row>
    <row r="95" spans="1:17" x14ac:dyDescent="0.2">
      <c r="B95" s="92" t="s">
        <v>129</v>
      </c>
      <c r="I95" s="71"/>
      <c r="J95" s="107"/>
      <c r="K95" s="107"/>
      <c r="L95" s="107"/>
      <c r="M95" s="107"/>
      <c r="N95" s="107"/>
      <c r="O95" s="107"/>
      <c r="P95" s="107"/>
      <c r="Q95" s="103">
        <f>-F16</f>
        <v>-1500</v>
      </c>
    </row>
    <row r="96" spans="1:17" x14ac:dyDescent="0.2">
      <c r="B96" s="92" t="s">
        <v>130</v>
      </c>
      <c r="I96" s="71"/>
      <c r="J96" s="107"/>
      <c r="K96" s="107"/>
      <c r="L96" s="107"/>
      <c r="M96" s="107"/>
      <c r="N96" s="107"/>
      <c r="O96" s="107"/>
      <c r="P96" s="107"/>
      <c r="Q96" s="366">
        <v>0</v>
      </c>
    </row>
    <row r="97" spans="2:17" x14ac:dyDescent="0.2">
      <c r="B97" s="92" t="s">
        <v>131</v>
      </c>
      <c r="I97" s="71"/>
      <c r="J97" s="107"/>
      <c r="K97" s="107"/>
      <c r="L97" s="107"/>
      <c r="M97" s="107"/>
      <c r="N97" s="107"/>
      <c r="O97" s="107"/>
      <c r="P97" s="107"/>
      <c r="Q97" s="366">
        <v>0</v>
      </c>
    </row>
    <row r="98" spans="2:17" x14ac:dyDescent="0.2">
      <c r="B98" s="367" t="s">
        <v>132</v>
      </c>
      <c r="C98" s="88"/>
      <c r="D98" s="88"/>
      <c r="E98" s="88"/>
      <c r="F98" s="88"/>
      <c r="G98" s="88"/>
      <c r="H98" s="88"/>
      <c r="I98" s="127"/>
      <c r="J98" s="105"/>
      <c r="K98" s="105"/>
      <c r="L98" s="105"/>
      <c r="M98" s="105"/>
      <c r="N98" s="105"/>
      <c r="O98" s="105"/>
      <c r="P98" s="105"/>
      <c r="Q98" s="105">
        <f>SUM(Q94:Q97)</f>
        <v>23690.35436683401</v>
      </c>
    </row>
    <row r="99" spans="2:17" x14ac:dyDescent="0.2">
      <c r="B99" s="196" t="s">
        <v>217</v>
      </c>
      <c r="I99" s="71"/>
      <c r="J99" s="107"/>
      <c r="K99" s="107"/>
      <c r="L99" s="107"/>
      <c r="M99" s="107"/>
      <c r="N99" s="107"/>
      <c r="O99" s="107"/>
      <c r="P99" s="107"/>
      <c r="Q99" s="103">
        <f>C12</f>
        <v>10500</v>
      </c>
    </row>
    <row r="100" spans="2:17" x14ac:dyDescent="0.2">
      <c r="B100" s="91" t="s">
        <v>133</v>
      </c>
      <c r="I100" s="71"/>
      <c r="J100" s="107"/>
      <c r="K100" s="107"/>
      <c r="L100" s="107"/>
      <c r="M100" s="107"/>
      <c r="N100" s="107"/>
      <c r="O100" s="107"/>
      <c r="P100" s="107"/>
      <c r="Q100" s="96">
        <f>Q98/Q99 - 1</f>
        <v>1.2562242254127627</v>
      </c>
    </row>
    <row r="101" spans="2:17" x14ac:dyDescent="0.2">
      <c r="I101" s="71"/>
      <c r="J101" s="107"/>
      <c r="K101" s="107"/>
      <c r="L101" s="107"/>
      <c r="M101" s="107"/>
      <c r="N101" s="107"/>
      <c r="O101" s="107"/>
      <c r="P101" s="107"/>
      <c r="Q101" s="107"/>
    </row>
    <row r="102" spans="2:17" x14ac:dyDescent="0.2">
      <c r="B102" s="70" t="s">
        <v>219</v>
      </c>
      <c r="I102" s="71"/>
      <c r="J102" s="107"/>
      <c r="K102" s="107"/>
      <c r="L102" s="107"/>
      <c r="M102" s="107"/>
      <c r="N102" s="107"/>
      <c r="O102" s="107"/>
      <c r="P102" s="107"/>
      <c r="Q102" s="107"/>
    </row>
    <row r="103" spans="2:17" x14ac:dyDescent="0.2">
      <c r="B103" t="s">
        <v>135</v>
      </c>
      <c r="I103" s="71"/>
      <c r="J103" s="107"/>
      <c r="K103" s="107"/>
      <c r="L103" s="107"/>
      <c r="M103" s="107"/>
      <c r="N103" s="107"/>
      <c r="O103" s="107"/>
      <c r="P103" s="107"/>
      <c r="Q103" s="362">
        <v>0.03</v>
      </c>
    </row>
    <row r="104" spans="2:17" x14ac:dyDescent="0.2">
      <c r="B104" t="s">
        <v>136</v>
      </c>
      <c r="I104" s="71"/>
      <c r="J104" s="107"/>
      <c r="K104" s="107"/>
      <c r="L104" s="107"/>
      <c r="M104" s="107"/>
      <c r="N104" s="107"/>
      <c r="O104" s="107"/>
      <c r="P104" s="107"/>
      <c r="Q104" s="106">
        <f>Q78*(1+Q103)</f>
        <v>4101.4561592628588</v>
      </c>
    </row>
    <row r="105" spans="2:17" x14ac:dyDescent="0.2">
      <c r="B105" s="196" t="s">
        <v>126</v>
      </c>
      <c r="I105" s="71"/>
      <c r="J105" s="107"/>
      <c r="K105" s="107"/>
      <c r="L105" s="107"/>
      <c r="M105" s="107"/>
      <c r="N105" s="107"/>
      <c r="O105" s="107"/>
      <c r="P105" s="107"/>
      <c r="Q105" s="124">
        <f>Q104/(Q85-Q103)</f>
        <v>21852.888727703648</v>
      </c>
    </row>
    <row r="106" spans="2:17" x14ac:dyDescent="0.2">
      <c r="B106" s="196" t="s">
        <v>127</v>
      </c>
      <c r="I106" s="71"/>
      <c r="J106" s="107"/>
      <c r="K106" s="107"/>
      <c r="L106" s="107"/>
      <c r="M106" s="107"/>
      <c r="N106" s="107"/>
      <c r="O106" s="107"/>
      <c r="P106" s="107"/>
      <c r="Q106" s="124">
        <f>Q105/(1+Q85)^Q83</f>
        <v>5090.7868589016289</v>
      </c>
    </row>
    <row r="107" spans="2:17" x14ac:dyDescent="0.2">
      <c r="B107" s="196" t="s">
        <v>128</v>
      </c>
      <c r="I107" s="71"/>
      <c r="J107" s="107"/>
      <c r="K107" s="107"/>
      <c r="L107" s="107"/>
      <c r="M107" s="107"/>
      <c r="N107" s="107"/>
      <c r="O107" s="107"/>
      <c r="P107" s="107"/>
      <c r="Q107" s="124">
        <f>Q106+SUM(J87:Q87)</f>
        <v>18976.620317170833</v>
      </c>
    </row>
    <row r="108" spans="2:17" x14ac:dyDescent="0.2">
      <c r="B108" s="92" t="s">
        <v>129</v>
      </c>
      <c r="I108" s="71"/>
      <c r="J108" s="107"/>
      <c r="K108" s="107"/>
      <c r="L108" s="107"/>
      <c r="M108" s="107"/>
      <c r="N108" s="107"/>
      <c r="O108" s="107"/>
      <c r="P108" s="107"/>
      <c r="Q108" s="103">
        <f>-F16</f>
        <v>-1500</v>
      </c>
    </row>
    <row r="109" spans="2:17" x14ac:dyDescent="0.2">
      <c r="B109" s="92" t="s">
        <v>130</v>
      </c>
      <c r="I109" s="71"/>
      <c r="J109" s="107"/>
      <c r="K109" s="107"/>
      <c r="L109" s="107"/>
      <c r="M109" s="107"/>
      <c r="N109" s="107"/>
      <c r="O109" s="107"/>
      <c r="P109" s="107"/>
      <c r="Q109" s="366">
        <v>0</v>
      </c>
    </row>
    <row r="110" spans="2:17" x14ac:dyDescent="0.2">
      <c r="B110" s="92" t="s">
        <v>131</v>
      </c>
      <c r="I110" s="71"/>
      <c r="J110" s="107"/>
      <c r="K110" s="107"/>
      <c r="L110" s="107"/>
      <c r="M110" s="107"/>
      <c r="N110" s="107"/>
      <c r="O110" s="107"/>
      <c r="P110" s="107"/>
      <c r="Q110" s="366">
        <v>0</v>
      </c>
    </row>
    <row r="111" spans="2:17" x14ac:dyDescent="0.2">
      <c r="B111" s="367" t="s">
        <v>132</v>
      </c>
      <c r="C111" s="88"/>
      <c r="D111" s="88"/>
      <c r="E111" s="88"/>
      <c r="F111" s="88"/>
      <c r="G111" s="88"/>
      <c r="H111" s="88"/>
      <c r="I111" s="127"/>
      <c r="J111" s="105"/>
      <c r="K111" s="105"/>
      <c r="L111" s="105"/>
      <c r="M111" s="105"/>
      <c r="N111" s="105"/>
      <c r="O111" s="105"/>
      <c r="P111" s="105"/>
      <c r="Q111" s="105">
        <f>SUM(Q107:Q110)</f>
        <v>17476.620317170833</v>
      </c>
    </row>
    <row r="112" spans="2:17" x14ac:dyDescent="0.2">
      <c r="B112" s="196" t="s">
        <v>217</v>
      </c>
      <c r="I112" s="71"/>
      <c r="J112" s="107"/>
      <c r="K112" s="107"/>
      <c r="L112" s="107"/>
      <c r="M112" s="107"/>
      <c r="N112" s="107"/>
      <c r="O112" s="107"/>
      <c r="P112" s="107"/>
      <c r="Q112" s="103">
        <f>C12</f>
        <v>10500</v>
      </c>
    </row>
    <row r="113" spans="2:17" ht="16" thickBot="1" x14ac:dyDescent="0.25">
      <c r="B113" s="368" t="s">
        <v>133</v>
      </c>
      <c r="C113" s="369"/>
      <c r="D113" s="369"/>
      <c r="E113" s="369"/>
      <c r="F113" s="369"/>
      <c r="G113" s="369"/>
      <c r="H113" s="369"/>
      <c r="I113" s="370"/>
      <c r="J113" s="371"/>
      <c r="K113" s="371"/>
      <c r="L113" s="371"/>
      <c r="M113" s="371"/>
      <c r="N113" s="371"/>
      <c r="O113" s="371"/>
      <c r="P113" s="371"/>
      <c r="Q113" s="372">
        <f>Q111/Q112 - 1</f>
        <v>0.66444003020674591</v>
      </c>
    </row>
    <row r="114" spans="2:17" x14ac:dyDescent="0.2">
      <c r="B114" s="91"/>
      <c r="K114" s="107"/>
      <c r="L114" s="107"/>
      <c r="M114" s="107"/>
      <c r="N114" s="107"/>
      <c r="O114" s="107"/>
      <c r="P114" s="107"/>
      <c r="Q114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08F8-7958-444E-8D4C-8460C372732E}">
  <dimension ref="A2:N34"/>
  <sheetViews>
    <sheetView showGridLines="0" topLeftCell="A15" zoomScale="89" zoomScaleNormal="100" workbookViewId="0">
      <selection activeCell="B34" sqref="B34"/>
    </sheetView>
  </sheetViews>
  <sheetFormatPr baseColWidth="10" defaultColWidth="17.6640625" defaultRowHeight="15" x14ac:dyDescent="0.2"/>
  <cols>
    <col min="1" max="1" width="5.6640625" customWidth="1"/>
    <col min="7" max="7" width="34.83203125" bestFit="1" customWidth="1"/>
  </cols>
  <sheetData>
    <row r="2" spans="2:14" ht="19" x14ac:dyDescent="0.25">
      <c r="B2" s="65" t="s">
        <v>137</v>
      </c>
      <c r="C2" s="191"/>
      <c r="D2" s="192"/>
      <c r="E2" s="192"/>
      <c r="F2" s="193"/>
    </row>
    <row r="3" spans="2:14" ht="16" thickBot="1" x14ac:dyDescent="0.25">
      <c r="B3" s="194" t="s">
        <v>68</v>
      </c>
      <c r="C3" s="194"/>
      <c r="D3" s="194"/>
      <c r="E3" s="194"/>
      <c r="F3" s="194"/>
      <c r="G3" s="194"/>
      <c r="H3" s="194"/>
      <c r="I3" s="334"/>
      <c r="J3" s="334"/>
      <c r="K3" s="334"/>
      <c r="L3" s="334"/>
      <c r="M3" s="334"/>
      <c r="N3" s="334"/>
    </row>
    <row r="4" spans="2:14" ht="16" thickTop="1" x14ac:dyDescent="0.2">
      <c r="B4" s="19" t="s">
        <v>69</v>
      </c>
      <c r="C4" s="195"/>
      <c r="D4" s="195"/>
      <c r="E4" s="192"/>
      <c r="F4" s="193"/>
    </row>
    <row r="5" spans="2:14" x14ac:dyDescent="0.2">
      <c r="F5" s="196"/>
    </row>
    <row r="6" spans="2:14" x14ac:dyDescent="0.2">
      <c r="B6" s="387" t="s">
        <v>137</v>
      </c>
      <c r="C6" s="388"/>
      <c r="D6" s="389"/>
      <c r="F6" s="387" t="s">
        <v>138</v>
      </c>
      <c r="G6" s="388"/>
      <c r="H6" s="388"/>
      <c r="I6" s="388"/>
      <c r="J6" s="388"/>
      <c r="K6" s="388"/>
      <c r="L6" s="388"/>
      <c r="M6" s="388"/>
      <c r="N6" s="389"/>
    </row>
    <row r="7" spans="2:14" x14ac:dyDescent="0.2">
      <c r="B7" s="134"/>
      <c r="D7" s="71"/>
      <c r="F7" s="197" t="s">
        <v>139</v>
      </c>
      <c r="G7" s="198"/>
      <c r="H7" s="198" t="s">
        <v>140</v>
      </c>
      <c r="I7" s="198" t="s">
        <v>141</v>
      </c>
      <c r="J7" s="198" t="s">
        <v>83</v>
      </c>
      <c r="K7" s="198" t="s">
        <v>142</v>
      </c>
      <c r="L7" s="198" t="s">
        <v>81</v>
      </c>
      <c r="M7" s="198" t="s">
        <v>143</v>
      </c>
      <c r="N7" s="199" t="s">
        <v>144</v>
      </c>
    </row>
    <row r="8" spans="2:14" x14ac:dyDescent="0.2">
      <c r="B8" s="200" t="s">
        <v>145</v>
      </c>
      <c r="D8" s="71"/>
      <c r="F8" s="201">
        <v>1</v>
      </c>
      <c r="G8" t="str">
        <f>Comps!B8</f>
        <v>Jamieson Wellness (TSX: JWEL)</v>
      </c>
      <c r="H8" s="202">
        <f>Comps!E8</f>
        <v>0.68</v>
      </c>
      <c r="I8" s="203">
        <v>417.3</v>
      </c>
      <c r="J8" s="204">
        <f>Comps!F8</f>
        <v>1463.67</v>
      </c>
      <c r="K8" s="202">
        <f>I8/J8</f>
        <v>0.28510524913402613</v>
      </c>
      <c r="L8" s="205">
        <v>0.26500000000000001</v>
      </c>
      <c r="M8" s="202">
        <f>H8/(1+(1-L8)*K8)</f>
        <v>0.56219145491193867</v>
      </c>
      <c r="N8" s="206">
        <v>0.114</v>
      </c>
    </row>
    <row r="9" spans="2:14" x14ac:dyDescent="0.2">
      <c r="B9" s="207" t="s">
        <v>146</v>
      </c>
      <c r="D9" s="208">
        <v>4.4690000000000001E-2</v>
      </c>
      <c r="F9" s="201">
        <v>2</v>
      </c>
      <c r="G9" t="str">
        <f>Comps!B9</f>
        <v>USANA Health Sciences (NYSE: USNA)</v>
      </c>
      <c r="H9" s="202">
        <f>Comps!E9</f>
        <v>0.64</v>
      </c>
      <c r="I9" s="203">
        <v>23</v>
      </c>
      <c r="J9" s="204">
        <f>Comps!F9</f>
        <v>582.55200000000002</v>
      </c>
      <c r="K9" s="202">
        <f>I9/J9</f>
        <v>3.9481454016122165E-2</v>
      </c>
      <c r="L9" s="205">
        <v>0.26500000000000001</v>
      </c>
      <c r="M9" s="202">
        <f t="shared" ref="M9:M13" si="0">H9/(1+(1-L9)*K9)</f>
        <v>0.6219516662579635</v>
      </c>
      <c r="N9" s="206">
        <v>0.46899999999999997</v>
      </c>
    </row>
    <row r="10" spans="2:14" x14ac:dyDescent="0.2">
      <c r="B10" s="207" t="s">
        <v>147</v>
      </c>
      <c r="D10" s="208">
        <v>4.2099999999999999E-2</v>
      </c>
      <c r="E10" s="209"/>
      <c r="F10" s="201">
        <v>3</v>
      </c>
      <c r="G10" t="str">
        <f>Comps!B10</f>
        <v>Herbalife (NYSE: HLF)</v>
      </c>
      <c r="H10" s="202">
        <f>Comps!E10</f>
        <v>0.89</v>
      </c>
      <c r="I10" s="203">
        <v>2400.6</v>
      </c>
      <c r="J10" s="204">
        <f>Comps!F10</f>
        <v>944.70399999999995</v>
      </c>
      <c r="K10" s="202">
        <f t="shared" ref="K10:K13" si="1">I10/J10</f>
        <v>2.5411134069507488</v>
      </c>
      <c r="L10" s="205">
        <v>0.26500000000000001</v>
      </c>
      <c r="M10" s="202">
        <f t="shared" si="0"/>
        <v>0.31035125842286038</v>
      </c>
      <c r="N10" s="206">
        <v>0.27700000000000002</v>
      </c>
    </row>
    <row r="11" spans="2:14" x14ac:dyDescent="0.2">
      <c r="B11" s="207" t="s">
        <v>140</v>
      </c>
      <c r="D11" s="364">
        <f>H23</f>
        <v>0.63148807949065233</v>
      </c>
      <c r="F11" s="201">
        <v>4</v>
      </c>
      <c r="G11" t="str">
        <f>Comps!B11</f>
        <v>Medifast (NYSE: MED)</v>
      </c>
      <c r="H11" s="202">
        <f>Comps!E11</f>
        <v>0.89</v>
      </c>
      <c r="I11" s="203">
        <v>14.6</v>
      </c>
      <c r="J11" s="204">
        <f>Comps!F11</f>
        <v>141.00700000000001</v>
      </c>
      <c r="K11" s="202">
        <f t="shared" si="1"/>
        <v>0.10354095895948427</v>
      </c>
      <c r="L11" s="205">
        <v>0.26500000000000001</v>
      </c>
      <c r="M11" s="202">
        <f t="shared" si="0"/>
        <v>0.82705868009331873</v>
      </c>
      <c r="N11" s="206">
        <v>0.25800000000000001</v>
      </c>
    </row>
    <row r="12" spans="2:14" x14ac:dyDescent="0.2">
      <c r="B12" s="207" t="s">
        <v>148</v>
      </c>
      <c r="D12" s="220">
        <f>N23</f>
        <v>0.27366666666666667</v>
      </c>
      <c r="F12" s="201">
        <v>5</v>
      </c>
      <c r="G12" t="str">
        <f>Comps!B12</f>
        <v>LifeVantage (Nasdaq: LFVN)</v>
      </c>
      <c r="H12" s="202">
        <f>Comps!E12</f>
        <v>0.46</v>
      </c>
      <c r="I12" s="203">
        <v>12.4</v>
      </c>
      <c r="J12" s="204">
        <f>Comps!F12</f>
        <v>159.768</v>
      </c>
      <c r="K12" s="202">
        <f t="shared" si="1"/>
        <v>7.7612538180361526E-2</v>
      </c>
      <c r="L12" s="205">
        <v>0.26500000000000001</v>
      </c>
      <c r="M12" s="202">
        <f t="shared" si="0"/>
        <v>0.43517532952001986</v>
      </c>
      <c r="N12" s="206">
        <v>0.13100000000000001</v>
      </c>
    </row>
    <row r="13" spans="2:14" x14ac:dyDescent="0.2">
      <c r="B13" s="207" t="s">
        <v>149</v>
      </c>
      <c r="D13" s="210">
        <f>D11/D12</f>
        <v>2.3075082076394118</v>
      </c>
      <c r="F13" s="201">
        <v>6</v>
      </c>
      <c r="G13" t="str">
        <f>Comps!B13</f>
        <v>Nature’s Sunshine (Nasdaq: NATR)</v>
      </c>
      <c r="H13" s="202">
        <f>Comps!E13</f>
        <v>1.1299999999999999</v>
      </c>
      <c r="I13" s="203">
        <v>14.8</v>
      </c>
      <c r="J13" s="204">
        <f>Comps!F13</f>
        <v>276.57499999999999</v>
      </c>
      <c r="K13" s="202">
        <f t="shared" si="1"/>
        <v>5.3511705685618735E-2</v>
      </c>
      <c r="L13" s="205">
        <v>0.26500000000000001</v>
      </c>
      <c r="M13" s="202">
        <f t="shared" si="0"/>
        <v>1.0872377397348436</v>
      </c>
      <c r="N13" s="211">
        <v>0.39300000000000002</v>
      </c>
    </row>
    <row r="14" spans="2:14" x14ac:dyDescent="0.2">
      <c r="B14" s="207" t="s">
        <v>150</v>
      </c>
      <c r="D14" s="208">
        <v>0.05</v>
      </c>
      <c r="F14" s="212" t="s">
        <v>151</v>
      </c>
      <c r="G14" s="88"/>
      <c r="H14" s="213">
        <f t="shared" ref="H14:N14" si="2">MIN(H8:H13)</f>
        <v>0.46</v>
      </c>
      <c r="I14" s="213">
        <f t="shared" si="2"/>
        <v>12.4</v>
      </c>
      <c r="J14" s="213">
        <f t="shared" si="2"/>
        <v>141.00700000000001</v>
      </c>
      <c r="K14" s="213">
        <f t="shared" si="2"/>
        <v>3.9481454016122165E-2</v>
      </c>
      <c r="L14" s="214">
        <f t="shared" si="2"/>
        <v>0.26500000000000001</v>
      </c>
      <c r="M14" s="213">
        <f t="shared" si="2"/>
        <v>0.31035125842286038</v>
      </c>
      <c r="N14" s="215">
        <f t="shared" si="2"/>
        <v>0.114</v>
      </c>
    </row>
    <row r="15" spans="2:14" x14ac:dyDescent="0.2">
      <c r="B15" s="207" t="s">
        <v>152</v>
      </c>
      <c r="D15" s="216">
        <v>0.03</v>
      </c>
      <c r="F15" s="217">
        <v>0.25</v>
      </c>
      <c r="H15" s="202">
        <f t="shared" ref="H15:N15" si="3">PERCENTILE(H8:H13,0.25)</f>
        <v>0.65</v>
      </c>
      <c r="I15" s="202">
        <f t="shared" si="3"/>
        <v>14.65</v>
      </c>
      <c r="J15" s="202">
        <f t="shared" si="3"/>
        <v>188.96975</v>
      </c>
      <c r="K15" s="202">
        <f t="shared" si="3"/>
        <v>5.9536913809304433E-2</v>
      </c>
      <c r="L15" s="218">
        <f t="shared" si="3"/>
        <v>0.26500000000000001</v>
      </c>
      <c r="M15" s="202">
        <f t="shared" si="3"/>
        <v>0.46692936086799958</v>
      </c>
      <c r="N15" s="210">
        <f t="shared" si="3"/>
        <v>0.16275000000000001</v>
      </c>
    </row>
    <row r="16" spans="2:14" x14ac:dyDescent="0.2">
      <c r="B16" s="219" t="s">
        <v>153</v>
      </c>
      <c r="C16" s="88"/>
      <c r="D16" s="220">
        <f>D9+D13*(D10) +D14+D15</f>
        <v>0.22183609554161923</v>
      </c>
      <c r="F16" s="221" t="s">
        <v>154</v>
      </c>
      <c r="G16" s="181"/>
      <c r="H16" s="222">
        <f t="shared" ref="H16:N16" si="4">AVERAGE(H8:H13)</f>
        <v>0.78166666666666662</v>
      </c>
      <c r="I16" s="222">
        <f t="shared" si="4"/>
        <v>480.45000000000005</v>
      </c>
      <c r="J16" s="222">
        <f t="shared" si="4"/>
        <v>594.71266666666668</v>
      </c>
      <c r="K16" s="222">
        <f t="shared" si="4"/>
        <v>0.51672755215439359</v>
      </c>
      <c r="L16" s="223">
        <f t="shared" si="4"/>
        <v>0.26500000000000007</v>
      </c>
      <c r="M16" s="222">
        <f t="shared" si="4"/>
        <v>0.64066102149015747</v>
      </c>
      <c r="N16" s="224">
        <f t="shared" si="4"/>
        <v>0.27366666666666667</v>
      </c>
    </row>
    <row r="17" spans="2:14" x14ac:dyDescent="0.2">
      <c r="B17" s="225"/>
      <c r="D17" s="226"/>
      <c r="F17" s="227" t="s">
        <v>155</v>
      </c>
      <c r="G17" s="185"/>
      <c r="H17" s="228">
        <f t="shared" ref="H17:N17" si="5">MEDIAN(H8:H13)</f>
        <v>0.78500000000000003</v>
      </c>
      <c r="I17" s="228">
        <f t="shared" si="5"/>
        <v>18.899999999999999</v>
      </c>
      <c r="J17" s="228">
        <f t="shared" si="5"/>
        <v>429.56349999999998</v>
      </c>
      <c r="K17" s="228">
        <f t="shared" si="5"/>
        <v>9.0576748569922899E-2</v>
      </c>
      <c r="L17" s="229">
        <f t="shared" si="5"/>
        <v>0.26500000000000001</v>
      </c>
      <c r="M17" s="228">
        <f t="shared" si="5"/>
        <v>0.59207156058495114</v>
      </c>
      <c r="N17" s="230">
        <f t="shared" si="5"/>
        <v>0.26750000000000002</v>
      </c>
    </row>
    <row r="18" spans="2:14" x14ac:dyDescent="0.2">
      <c r="B18" s="200" t="s">
        <v>156</v>
      </c>
      <c r="D18" s="231"/>
      <c r="F18" s="232">
        <v>0.75</v>
      </c>
      <c r="H18" s="202">
        <f t="shared" ref="H18:N18" si="6">PERCENTILE(H8:H13,0.75)</f>
        <v>0.89</v>
      </c>
      <c r="I18" s="202">
        <f t="shared" si="6"/>
        <v>318.72500000000002</v>
      </c>
      <c r="J18" s="202">
        <f t="shared" si="6"/>
        <v>854.16599999999994</v>
      </c>
      <c r="K18" s="202">
        <f t="shared" si="6"/>
        <v>0.23971417659039068</v>
      </c>
      <c r="L18" s="218">
        <f t="shared" si="6"/>
        <v>0.26500000000000001</v>
      </c>
      <c r="M18" s="202">
        <f t="shared" si="6"/>
        <v>0.77578192663447987</v>
      </c>
      <c r="N18" s="210">
        <f t="shared" si="6"/>
        <v>0.36399999999999999</v>
      </c>
    </row>
    <row r="19" spans="2:14" x14ac:dyDescent="0.2">
      <c r="B19" s="207" t="s">
        <v>157</v>
      </c>
      <c r="D19" s="226">
        <v>7.0000000000000007E-2</v>
      </c>
      <c r="F19" s="233" t="s">
        <v>158</v>
      </c>
      <c r="G19" s="155"/>
      <c r="H19" s="234">
        <f t="shared" ref="H19:N19" si="7">MAX(H8:H13)</f>
        <v>1.1299999999999999</v>
      </c>
      <c r="I19" s="234">
        <f t="shared" si="7"/>
        <v>2400.6</v>
      </c>
      <c r="J19" s="234">
        <f t="shared" si="7"/>
        <v>1463.67</v>
      </c>
      <c r="K19" s="234">
        <f t="shared" si="7"/>
        <v>2.5411134069507488</v>
      </c>
      <c r="L19" s="235">
        <f t="shared" si="7"/>
        <v>0.26500000000000001</v>
      </c>
      <c r="M19" s="234">
        <f t="shared" si="7"/>
        <v>1.0872377397348436</v>
      </c>
      <c r="N19" s="236">
        <f t="shared" si="7"/>
        <v>0.46899999999999997</v>
      </c>
    </row>
    <row r="20" spans="2:14" x14ac:dyDescent="0.2">
      <c r="B20" s="207" t="s">
        <v>81</v>
      </c>
      <c r="D20" s="363">
        <f>L23</f>
        <v>0.26500000000000007</v>
      </c>
      <c r="F20" s="196"/>
    </row>
    <row r="21" spans="2:14" x14ac:dyDescent="0.2">
      <c r="B21" s="219" t="s">
        <v>159</v>
      </c>
      <c r="C21" s="88"/>
      <c r="D21" s="237">
        <f>D19*(1-D20)</f>
        <v>5.1449999999999996E-2</v>
      </c>
      <c r="F21" s="387" t="s">
        <v>160</v>
      </c>
      <c r="G21" s="388"/>
      <c r="H21" s="388"/>
      <c r="I21" s="388"/>
      <c r="J21" s="388"/>
      <c r="K21" s="388"/>
      <c r="L21" s="388"/>
      <c r="M21" s="388"/>
      <c r="N21" s="389"/>
    </row>
    <row r="22" spans="2:14" x14ac:dyDescent="0.2">
      <c r="B22" s="134"/>
      <c r="D22" s="238"/>
      <c r="F22" s="197" t="s">
        <v>139</v>
      </c>
      <c r="G22" s="198"/>
      <c r="H22" s="198" t="s">
        <v>140</v>
      </c>
      <c r="I22" s="198" t="s">
        <v>221</v>
      </c>
      <c r="J22" s="198" t="s">
        <v>222</v>
      </c>
      <c r="K22" s="198" t="s">
        <v>161</v>
      </c>
      <c r="L22" s="198" t="s">
        <v>81</v>
      </c>
      <c r="M22" s="198" t="s">
        <v>143</v>
      </c>
      <c r="N22" s="199" t="s">
        <v>144</v>
      </c>
    </row>
    <row r="23" spans="2:14" x14ac:dyDescent="0.2">
      <c r="B23" s="207" t="s">
        <v>162</v>
      </c>
      <c r="D23" s="104">
        <f>'DCF Model - Base (1)'!C12</f>
        <v>10500</v>
      </c>
      <c r="F23" s="239" t="s">
        <v>163</v>
      </c>
      <c r="G23" s="155"/>
      <c r="H23" s="240">
        <f>M23*(1+(1-L23)*K23)</f>
        <v>0.63148807949065233</v>
      </c>
      <c r="I23" s="241">
        <f>D23+D24-J23</f>
        <v>996.64786019357052</v>
      </c>
      <c r="J23" s="241">
        <f>(D23+D24)/(1+K23)</f>
        <v>11003.352139806429</v>
      </c>
      <c r="K23" s="240">
        <f>K17</f>
        <v>9.0576748569922899E-2</v>
      </c>
      <c r="L23" s="242">
        <f>L16</f>
        <v>0.26500000000000007</v>
      </c>
      <c r="M23" s="243">
        <f>M17</f>
        <v>0.59207156058495114</v>
      </c>
      <c r="N23" s="244">
        <f>N16</f>
        <v>0.27366666666666667</v>
      </c>
    </row>
    <row r="24" spans="2:14" x14ac:dyDescent="0.2">
      <c r="B24" s="207" t="s">
        <v>164</v>
      </c>
      <c r="D24" s="104">
        <f>'DCF Model - Base (1)'!F16</f>
        <v>1500</v>
      </c>
      <c r="F24" s="196"/>
      <c r="M24" s="88"/>
      <c r="N24" s="88"/>
    </row>
    <row r="25" spans="2:14" x14ac:dyDescent="0.2">
      <c r="B25" s="207"/>
      <c r="D25" s="104"/>
      <c r="F25" s="196"/>
      <c r="K25" s="245"/>
    </row>
    <row r="26" spans="2:14" x14ac:dyDescent="0.2">
      <c r="B26" s="207" t="s">
        <v>165</v>
      </c>
      <c r="D26" s="220">
        <f>D28/D27</f>
        <v>0.14285714285714285</v>
      </c>
      <c r="F26" s="196"/>
    </row>
    <row r="27" spans="2:14" x14ac:dyDescent="0.2">
      <c r="B27" s="207" t="s">
        <v>166</v>
      </c>
      <c r="C27" s="70"/>
      <c r="D27" s="220">
        <f>D23/(D23+D24)</f>
        <v>0.875</v>
      </c>
    </row>
    <row r="28" spans="2:14" x14ac:dyDescent="0.2">
      <c r="B28" s="207" t="s">
        <v>167</v>
      </c>
      <c r="D28" s="220">
        <f>D24/(D23+D24)</f>
        <v>0.125</v>
      </c>
    </row>
    <row r="29" spans="2:14" x14ac:dyDescent="0.2">
      <c r="B29" s="134"/>
      <c r="D29" s="71"/>
      <c r="E29" s="129"/>
    </row>
    <row r="30" spans="2:14" x14ac:dyDescent="0.2">
      <c r="B30" s="207" t="s">
        <v>168</v>
      </c>
      <c r="D30" s="220">
        <f>D32/D31</f>
        <v>9.0576748569922941E-2</v>
      </c>
    </row>
    <row r="31" spans="2:14" x14ac:dyDescent="0.2">
      <c r="B31" s="207" t="s">
        <v>169</v>
      </c>
      <c r="D31" s="220">
        <f>J23/(I23+J23)</f>
        <v>0.9169460116505358</v>
      </c>
    </row>
    <row r="32" spans="2:14" x14ac:dyDescent="0.2">
      <c r="B32" s="207" t="s">
        <v>170</v>
      </c>
      <c r="D32" s="220">
        <f>I23/(I23+J23)</f>
        <v>8.3053988349464217E-2</v>
      </c>
    </row>
    <row r="33" spans="1:4" x14ac:dyDescent="0.2">
      <c r="B33" s="207"/>
      <c r="D33" s="71"/>
    </row>
    <row r="34" spans="1:4" x14ac:dyDescent="0.2">
      <c r="A34" t="s">
        <v>66</v>
      </c>
      <c r="B34" s="246" t="s">
        <v>84</v>
      </c>
      <c r="C34" s="132"/>
      <c r="D34" s="133">
        <f>(D31*D16) + (D32*D21)</f>
        <v>0.20768485074759491</v>
      </c>
    </row>
  </sheetData>
  <mergeCells count="3">
    <mergeCell ref="B6:D6"/>
    <mergeCell ref="F21:N21"/>
    <mergeCell ref="F6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9B09-6CDB-48CC-B00B-510323219F3B}">
  <dimension ref="A2:S21"/>
  <sheetViews>
    <sheetView showGridLines="0" zoomScaleNormal="100" workbookViewId="0">
      <selection activeCell="P20" sqref="P20"/>
    </sheetView>
  </sheetViews>
  <sheetFormatPr baseColWidth="10" defaultColWidth="17.6640625" defaultRowHeight="15" x14ac:dyDescent="0.2"/>
  <sheetData>
    <row r="2" spans="1:19" ht="19" x14ac:dyDescent="0.25">
      <c r="A2" t="s">
        <v>66</v>
      </c>
      <c r="B2" s="190" t="s">
        <v>171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</row>
    <row r="3" spans="1:19" ht="16" thickBot="1" x14ac:dyDescent="0.25">
      <c r="B3" s="194" t="s">
        <v>68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</row>
    <row r="4" spans="1:19" ht="16" thickTop="1" x14ac:dyDescent="0.2">
      <c r="B4" s="19" t="s">
        <v>69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</row>
    <row r="5" spans="1:19" x14ac:dyDescent="0.2"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</row>
    <row r="6" spans="1:19" ht="18" x14ac:dyDescent="0.2">
      <c r="B6" s="343"/>
      <c r="C6" s="344" t="s">
        <v>172</v>
      </c>
      <c r="D6" s="344" t="s">
        <v>173</v>
      </c>
      <c r="E6" s="344" t="s">
        <v>174</v>
      </c>
      <c r="F6" s="344" t="s">
        <v>175</v>
      </c>
      <c r="G6" s="345" t="s">
        <v>176</v>
      </c>
      <c r="H6" s="341" t="s">
        <v>177</v>
      </c>
      <c r="I6" s="341" t="s">
        <v>7</v>
      </c>
      <c r="J6" s="341"/>
      <c r="K6" s="341" t="s">
        <v>178</v>
      </c>
      <c r="L6" s="341"/>
      <c r="M6" s="342" t="s">
        <v>179</v>
      </c>
      <c r="N6" s="270"/>
      <c r="O6" s="347"/>
      <c r="P6" s="341" t="s">
        <v>94</v>
      </c>
      <c r="Q6" s="341"/>
      <c r="R6" s="341" t="s">
        <v>180</v>
      </c>
      <c r="S6" s="342"/>
    </row>
    <row r="7" spans="1:19" ht="18" x14ac:dyDescent="0.2">
      <c r="B7" s="340" t="s">
        <v>139</v>
      </c>
      <c r="C7" s="341" t="s">
        <v>181</v>
      </c>
      <c r="D7" s="341" t="s">
        <v>182</v>
      </c>
      <c r="E7" s="341" t="s">
        <v>183</v>
      </c>
      <c r="F7" s="341" t="s">
        <v>184</v>
      </c>
      <c r="G7" s="346" t="s">
        <v>185</v>
      </c>
      <c r="H7" s="341" t="s">
        <v>186</v>
      </c>
      <c r="I7" s="341" t="s">
        <v>186</v>
      </c>
      <c r="J7" s="341" t="s">
        <v>187</v>
      </c>
      <c r="K7" s="341" t="s">
        <v>186</v>
      </c>
      <c r="L7" s="341"/>
      <c r="M7" s="342" t="s">
        <v>188</v>
      </c>
      <c r="N7" s="270"/>
      <c r="O7" s="340" t="s">
        <v>189</v>
      </c>
      <c r="P7" s="341" t="s">
        <v>186</v>
      </c>
      <c r="Q7" s="341" t="s">
        <v>187</v>
      </c>
      <c r="R7" s="341" t="s">
        <v>186</v>
      </c>
      <c r="S7" s="342" t="s">
        <v>187</v>
      </c>
    </row>
    <row r="8" spans="1:19" x14ac:dyDescent="0.2">
      <c r="B8" s="260" t="s">
        <v>190</v>
      </c>
      <c r="C8" s="263">
        <v>35.1</v>
      </c>
      <c r="D8" s="264">
        <v>41.7</v>
      </c>
      <c r="E8" s="271">
        <v>0.68</v>
      </c>
      <c r="F8" s="272">
        <f t="shared" ref="F8:F13" si="0">+D8*C8</f>
        <v>1463.67</v>
      </c>
      <c r="G8" s="264">
        <v>1868</v>
      </c>
      <c r="H8" s="273">
        <f t="shared" ref="H8:H13" si="1">P8/R8</f>
        <v>0.14726619662099241</v>
      </c>
      <c r="I8" s="274">
        <f>+$G8/P8</f>
        <v>16.874435411020777</v>
      </c>
      <c r="J8" s="274">
        <f>+$G8/Q8</f>
        <v>10.408424806374324</v>
      </c>
      <c r="K8" s="275">
        <f>+$G8/R8</f>
        <v>2.4850339231076224</v>
      </c>
      <c r="L8" s="275">
        <f>+$G8/S8</f>
        <v>2.0816849612748647</v>
      </c>
      <c r="M8" s="276">
        <v>0.79</v>
      </c>
      <c r="N8" s="270"/>
      <c r="O8" s="277" t="s">
        <v>191</v>
      </c>
      <c r="P8" s="278" t="s">
        <v>192</v>
      </c>
      <c r="Q8" s="264">
        <v>179.47</v>
      </c>
      <c r="R8" s="264">
        <v>751.7</v>
      </c>
      <c r="S8" s="279">
        <v>897.35</v>
      </c>
    </row>
    <row r="9" spans="1:19" x14ac:dyDescent="0.2">
      <c r="B9" s="260" t="s">
        <v>193</v>
      </c>
      <c r="C9" s="271">
        <v>31.32</v>
      </c>
      <c r="D9" s="264">
        <v>18.600000000000001</v>
      </c>
      <c r="E9" s="271">
        <v>0.64</v>
      </c>
      <c r="F9" s="272">
        <f t="shared" si="0"/>
        <v>582.55200000000002</v>
      </c>
      <c r="G9" s="264">
        <v>480.8</v>
      </c>
      <c r="H9" s="273">
        <f t="shared" si="1"/>
        <v>8.7879479570874219E-2</v>
      </c>
      <c r="I9" s="274">
        <f>+$G9/P9</f>
        <v>6.244155844155844</v>
      </c>
      <c r="J9" s="274">
        <f t="shared" ref="J9:L13" si="2">+$G9/Q9</f>
        <v>3.264308507026954</v>
      </c>
      <c r="K9" s="275">
        <f t="shared" si="2"/>
        <v>0.54873316594384847</v>
      </c>
      <c r="L9" s="275">
        <f t="shared" si="2"/>
        <v>0.46679611650485436</v>
      </c>
      <c r="M9" s="276">
        <v>3.9E-2</v>
      </c>
      <c r="N9" s="270"/>
      <c r="O9" s="277" t="s">
        <v>194</v>
      </c>
      <c r="P9" s="264">
        <v>77</v>
      </c>
      <c r="Q9" s="264">
        <v>147.29</v>
      </c>
      <c r="R9" s="264">
        <v>876.2</v>
      </c>
      <c r="S9" s="279">
        <v>1030</v>
      </c>
    </row>
    <row r="10" spans="1:19" x14ac:dyDescent="0.2">
      <c r="B10" s="260" t="s">
        <v>195</v>
      </c>
      <c r="C10" s="271">
        <v>9.2799999999999994</v>
      </c>
      <c r="D10" s="264">
        <v>101.8</v>
      </c>
      <c r="E10" s="271">
        <v>0.89</v>
      </c>
      <c r="F10" s="272">
        <f t="shared" si="0"/>
        <v>944.70399999999995</v>
      </c>
      <c r="G10" s="264">
        <v>3016.3</v>
      </c>
      <c r="H10" s="273">
        <f t="shared" si="1"/>
        <v>0.12580547419452578</v>
      </c>
      <c r="I10" s="274">
        <f>+$G10/P10</f>
        <v>4.8431278098908166</v>
      </c>
      <c r="J10" s="274">
        <f t="shared" si="2"/>
        <v>4.4532864820173623</v>
      </c>
      <c r="K10" s="275">
        <f t="shared" si="2"/>
        <v>0.60929199070800932</v>
      </c>
      <c r="L10" s="275">
        <f t="shared" si="2"/>
        <v>0.58540968779961422</v>
      </c>
      <c r="M10" s="276" t="s">
        <v>196</v>
      </c>
      <c r="N10" s="270"/>
      <c r="O10" s="277" t="s">
        <v>197</v>
      </c>
      <c r="P10" s="264">
        <v>622.79999999999995</v>
      </c>
      <c r="Q10" s="264">
        <v>677.32</v>
      </c>
      <c r="R10" s="264">
        <v>4950.5</v>
      </c>
      <c r="S10" s="279">
        <v>5152.46</v>
      </c>
    </row>
    <row r="11" spans="1:19" x14ac:dyDescent="0.2">
      <c r="B11" s="260" t="s">
        <v>198</v>
      </c>
      <c r="C11" s="271">
        <v>13.69</v>
      </c>
      <c r="D11" s="264">
        <v>10.3</v>
      </c>
      <c r="E11" s="271">
        <v>0.89</v>
      </c>
      <c r="F11" s="272">
        <f t="shared" si="0"/>
        <v>141.00700000000001</v>
      </c>
      <c r="G11" s="264">
        <v>-8.4</v>
      </c>
      <c r="H11" s="273">
        <f t="shared" si="1"/>
        <v>3.477460901563937E-2</v>
      </c>
      <c r="I11" s="274">
        <f>+$G11/P11</f>
        <v>-0.44444444444444448</v>
      </c>
      <c r="J11" s="274">
        <f t="shared" si="2"/>
        <v>0.91304347826086962</v>
      </c>
      <c r="K11" s="275">
        <f t="shared" si="2"/>
        <v>-1.5455381784728611E-2</v>
      </c>
      <c r="L11" s="275">
        <f t="shared" si="2"/>
        <v>-2.2352315061202766E-2</v>
      </c>
      <c r="M11" s="276">
        <v>6.9000000000000006E-2</v>
      </c>
      <c r="N11" s="270"/>
      <c r="O11" s="277" t="s">
        <v>199</v>
      </c>
      <c r="P11" s="264">
        <v>18.899999999999999</v>
      </c>
      <c r="Q11" s="264">
        <v>-9.1999999999999993</v>
      </c>
      <c r="R11" s="264">
        <v>543.5</v>
      </c>
      <c r="S11" s="279">
        <v>375.8</v>
      </c>
    </row>
    <row r="12" spans="1:19" x14ac:dyDescent="0.2">
      <c r="B12" s="260" t="s">
        <v>200</v>
      </c>
      <c r="C12" s="271">
        <v>12.68</v>
      </c>
      <c r="D12" s="264">
        <v>12.6</v>
      </c>
      <c r="E12" s="271">
        <v>0.46</v>
      </c>
      <c r="F12" s="272">
        <f t="shared" si="0"/>
        <v>159.768</v>
      </c>
      <c r="G12" s="264">
        <v>149.5</v>
      </c>
      <c r="H12" s="273">
        <f t="shared" si="1"/>
        <v>7.28744939271255E-2</v>
      </c>
      <c r="I12" s="274">
        <f>+$G12/P12</f>
        <v>9.2283950617283956</v>
      </c>
      <c r="J12" s="274">
        <f t="shared" si="2"/>
        <v>6.1776859504132231</v>
      </c>
      <c r="K12" s="275">
        <f t="shared" si="2"/>
        <v>0.67251461988304095</v>
      </c>
      <c r="L12" s="275">
        <f t="shared" si="2"/>
        <v>0.60313874208254326</v>
      </c>
      <c r="M12" s="276">
        <v>0.36299999999999999</v>
      </c>
      <c r="N12" s="270"/>
      <c r="O12" s="277" t="s">
        <v>201</v>
      </c>
      <c r="P12" s="264">
        <v>16.2</v>
      </c>
      <c r="Q12" s="264">
        <v>24.2</v>
      </c>
      <c r="R12" s="264">
        <v>222.3</v>
      </c>
      <c r="S12" s="279">
        <v>247.87</v>
      </c>
    </row>
    <row r="13" spans="1:19" x14ac:dyDescent="0.2">
      <c r="B13" s="265" t="s">
        <v>202</v>
      </c>
      <c r="C13" s="280">
        <v>14.95</v>
      </c>
      <c r="D13" s="281">
        <v>18.5</v>
      </c>
      <c r="E13" s="280">
        <v>1.1299999999999999</v>
      </c>
      <c r="F13" s="282">
        <f t="shared" si="0"/>
        <v>276.57499999999999</v>
      </c>
      <c r="G13" s="281">
        <v>210.2</v>
      </c>
      <c r="H13" s="283">
        <f t="shared" si="1"/>
        <v>7.9281646955759968E-2</v>
      </c>
      <c r="I13" s="284">
        <f>+$G13/P13</f>
        <v>5.8066298342541431</v>
      </c>
      <c r="J13" s="284">
        <f t="shared" si="2"/>
        <v>4.4962566844919785</v>
      </c>
      <c r="K13" s="285">
        <f t="shared" si="2"/>
        <v>0.46035917652211999</v>
      </c>
      <c r="L13" s="285">
        <f t="shared" si="2"/>
        <v>0.44704381114419395</v>
      </c>
      <c r="M13" s="286">
        <v>8.8999999999999996E-2</v>
      </c>
      <c r="N13" s="270"/>
      <c r="O13" s="287" t="s">
        <v>203</v>
      </c>
      <c r="P13" s="281">
        <v>36.200000000000003</v>
      </c>
      <c r="Q13" s="281">
        <v>46.75</v>
      </c>
      <c r="R13" s="281">
        <v>456.6</v>
      </c>
      <c r="S13" s="288">
        <v>470.2</v>
      </c>
    </row>
    <row r="14" spans="1:19" x14ac:dyDescent="0.2">
      <c r="B14" s="289"/>
      <c r="C14" s="271"/>
      <c r="D14" s="264"/>
      <c r="E14" s="264"/>
      <c r="F14" s="272"/>
      <c r="G14" s="272"/>
      <c r="H14" s="273"/>
      <c r="I14" s="274"/>
      <c r="J14" s="274"/>
      <c r="K14" s="275"/>
      <c r="L14" s="275"/>
      <c r="M14" s="275"/>
      <c r="N14" s="270"/>
      <c r="O14" s="290"/>
      <c r="P14" s="264"/>
      <c r="Q14" s="264"/>
      <c r="R14" s="264"/>
      <c r="S14" s="264"/>
    </row>
    <row r="15" spans="1:19" x14ac:dyDescent="0.2">
      <c r="B15" s="291" t="s">
        <v>204</v>
      </c>
      <c r="C15" s="292"/>
      <c r="D15" s="293"/>
      <c r="E15" s="293"/>
      <c r="F15" s="294">
        <f t="shared" ref="F15:M15" si="3">MIN(F8:F13)</f>
        <v>141.00700000000001</v>
      </c>
      <c r="G15" s="294">
        <f t="shared" si="3"/>
        <v>-8.4</v>
      </c>
      <c r="H15" s="295">
        <f t="shared" si="3"/>
        <v>3.477460901563937E-2</v>
      </c>
      <c r="I15" s="296">
        <f t="shared" si="3"/>
        <v>-0.44444444444444448</v>
      </c>
      <c r="J15" s="296">
        <f t="shared" si="3"/>
        <v>0.91304347826086962</v>
      </c>
      <c r="K15" s="296">
        <f t="shared" si="3"/>
        <v>-1.5455381784728611E-2</v>
      </c>
      <c r="L15" s="296">
        <f t="shared" si="3"/>
        <v>-2.2352315061202766E-2</v>
      </c>
      <c r="M15" s="297">
        <f t="shared" si="3"/>
        <v>3.9E-2</v>
      </c>
      <c r="N15" s="270"/>
      <c r="O15" s="270"/>
      <c r="P15" s="264"/>
      <c r="Q15" s="264"/>
      <c r="R15" s="264"/>
      <c r="S15" s="264"/>
    </row>
    <row r="16" spans="1:19" x14ac:dyDescent="0.2">
      <c r="B16" s="298">
        <v>0.25</v>
      </c>
      <c r="C16" s="299"/>
      <c r="D16" s="300"/>
      <c r="E16" s="300"/>
      <c r="F16" s="272">
        <f t="shared" ref="F16:M16" si="4">PERCENTILE(F8:F13,0.25)</f>
        <v>188.96975</v>
      </c>
      <c r="G16" s="272">
        <f t="shared" si="4"/>
        <v>164.67500000000001</v>
      </c>
      <c r="H16" s="301">
        <f t="shared" si="4"/>
        <v>7.4476282184284121E-2</v>
      </c>
      <c r="I16" s="275">
        <f t="shared" si="4"/>
        <v>5.084003315981648</v>
      </c>
      <c r="J16" s="275">
        <f t="shared" si="4"/>
        <v>3.5615530007745559</v>
      </c>
      <c r="K16" s="275">
        <f t="shared" si="4"/>
        <v>0.48245267387755209</v>
      </c>
      <c r="L16" s="275">
        <f t="shared" si="4"/>
        <v>0.45198188748435908</v>
      </c>
      <c r="M16" s="302">
        <f t="shared" si="4"/>
        <v>6.9000000000000006E-2</v>
      </c>
      <c r="N16" s="270"/>
      <c r="P16" s="261"/>
      <c r="Q16" s="261"/>
      <c r="R16" s="264"/>
      <c r="S16" s="264"/>
    </row>
    <row r="17" spans="1:19" x14ac:dyDescent="0.2">
      <c r="B17" s="303" t="s">
        <v>205</v>
      </c>
      <c r="C17" s="304"/>
      <c r="D17" s="305"/>
      <c r="E17" s="305"/>
      <c r="F17" s="306">
        <f t="shared" ref="F17:M17" si="5">AVERAGE(F8:F13)</f>
        <v>594.71266666666668</v>
      </c>
      <c r="G17" s="306">
        <f t="shared" si="5"/>
        <v>952.73333333333346</v>
      </c>
      <c r="H17" s="307">
        <f t="shared" si="5"/>
        <v>9.1313650047486219E-2</v>
      </c>
      <c r="I17" s="308">
        <f t="shared" si="5"/>
        <v>7.0920499194342561</v>
      </c>
      <c r="J17" s="308">
        <f t="shared" si="5"/>
        <v>4.9521676514307851</v>
      </c>
      <c r="K17" s="308">
        <f t="shared" si="5"/>
        <v>0.79341291572998551</v>
      </c>
      <c r="L17" s="308">
        <f t="shared" si="5"/>
        <v>0.69362016729081144</v>
      </c>
      <c r="M17" s="309">
        <f t="shared" si="5"/>
        <v>0.27</v>
      </c>
      <c r="N17" s="270"/>
      <c r="O17" s="270"/>
      <c r="P17" s="310"/>
      <c r="Q17" s="310"/>
      <c r="R17" s="264"/>
      <c r="S17" s="264"/>
    </row>
    <row r="18" spans="1:19" x14ac:dyDescent="0.2">
      <c r="B18" s="311" t="s">
        <v>155</v>
      </c>
      <c r="C18" s="312"/>
      <c r="D18" s="313"/>
      <c r="E18" s="313"/>
      <c r="F18" s="314">
        <f t="shared" ref="F18:M18" si="6">MEDIAN(F8:F13)</f>
        <v>429.56349999999998</v>
      </c>
      <c r="G18" s="314">
        <f t="shared" si="6"/>
        <v>345.5</v>
      </c>
      <c r="H18" s="315">
        <f t="shared" si="6"/>
        <v>8.3580563263317087E-2</v>
      </c>
      <c r="I18" s="316">
        <f t="shared" si="6"/>
        <v>6.0253928392049936</v>
      </c>
      <c r="J18" s="316">
        <f t="shared" si="6"/>
        <v>4.4747715832546699</v>
      </c>
      <c r="K18" s="316">
        <f t="shared" si="6"/>
        <v>0.57901257832592889</v>
      </c>
      <c r="L18" s="316">
        <f t="shared" si="6"/>
        <v>0.52610290215223432</v>
      </c>
      <c r="M18" s="317">
        <f t="shared" si="6"/>
        <v>8.8999999999999996E-2</v>
      </c>
      <c r="N18" s="270"/>
      <c r="O18" s="270"/>
      <c r="P18" s="310"/>
      <c r="Q18" s="310"/>
      <c r="R18" s="264"/>
      <c r="S18" s="264"/>
    </row>
    <row r="19" spans="1:19" x14ac:dyDescent="0.2">
      <c r="B19" s="318">
        <v>0.75</v>
      </c>
      <c r="C19" s="319"/>
      <c r="D19" s="320"/>
      <c r="E19" s="320"/>
      <c r="F19" s="321">
        <f t="shared" ref="F19:M19" si="7">PERCENTILE(F8:F13,0.75)</f>
        <v>854.16599999999994</v>
      </c>
      <c r="G19" s="321">
        <f t="shared" si="7"/>
        <v>1521.2</v>
      </c>
      <c r="H19" s="322">
        <f t="shared" si="7"/>
        <v>0.1163239755386129</v>
      </c>
      <c r="I19" s="323">
        <f t="shared" si="7"/>
        <v>8.4823352573352579</v>
      </c>
      <c r="J19" s="323">
        <f t="shared" si="7"/>
        <v>5.7573286339329117</v>
      </c>
      <c r="K19" s="323">
        <f t="shared" si="7"/>
        <v>0.65670896258928302</v>
      </c>
      <c r="L19" s="323">
        <f t="shared" si="7"/>
        <v>0.59870647851181102</v>
      </c>
      <c r="M19" s="324">
        <f t="shared" si="7"/>
        <v>0.36299999999999999</v>
      </c>
      <c r="N19" s="270"/>
      <c r="O19" s="270"/>
      <c r="P19" s="310"/>
      <c r="Q19" s="310"/>
      <c r="R19" s="264"/>
      <c r="S19" s="264"/>
    </row>
    <row r="20" spans="1:19" x14ac:dyDescent="0.2">
      <c r="A20" t="s">
        <v>66</v>
      </c>
      <c r="B20" s="325" t="s">
        <v>158</v>
      </c>
      <c r="C20" s="326"/>
      <c r="D20" s="327"/>
      <c r="E20" s="327"/>
      <c r="F20" s="328">
        <f t="shared" ref="F20:M20" si="8">MAX(F8:F13)</f>
        <v>1463.67</v>
      </c>
      <c r="G20" s="328">
        <f t="shared" si="8"/>
        <v>3016.3</v>
      </c>
      <c r="H20" s="329">
        <f t="shared" si="8"/>
        <v>0.14726619662099241</v>
      </c>
      <c r="I20" s="330">
        <f t="shared" si="8"/>
        <v>16.874435411020777</v>
      </c>
      <c r="J20" s="330">
        <f t="shared" si="8"/>
        <v>10.408424806374324</v>
      </c>
      <c r="K20" s="330">
        <f t="shared" si="8"/>
        <v>2.4850339231076224</v>
      </c>
      <c r="L20" s="330">
        <f t="shared" si="8"/>
        <v>2.0816849612748647</v>
      </c>
      <c r="M20" s="331">
        <f t="shared" si="8"/>
        <v>0.79</v>
      </c>
      <c r="N20" s="270"/>
      <c r="O20" s="270"/>
      <c r="P20" s="310"/>
      <c r="Q20" s="310"/>
      <c r="R20" s="264"/>
      <c r="S20" s="264"/>
    </row>
    <row r="21" spans="1:19" x14ac:dyDescent="0.2">
      <c r="B21" s="332"/>
      <c r="C21" s="270"/>
      <c r="D21" s="333"/>
      <c r="E21" s="333"/>
      <c r="F21" s="272"/>
      <c r="G21" s="272"/>
      <c r="H21" s="272"/>
      <c r="I21" s="270"/>
      <c r="J21" s="270"/>
      <c r="K21" s="270"/>
      <c r="L21" s="270"/>
      <c r="M21" s="270"/>
      <c r="N21" s="270"/>
      <c r="O21" s="270"/>
      <c r="P21" s="270"/>
      <c r="Q21" s="270"/>
      <c r="R21" s="264"/>
      <c r="S21" s="26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BA20-F187-49D3-982D-685095B0C85D}">
  <dimension ref="C2:F17"/>
  <sheetViews>
    <sheetView showGridLines="0" zoomScaleNormal="100" workbookViewId="0">
      <selection activeCell="D6" sqref="D6"/>
    </sheetView>
  </sheetViews>
  <sheetFormatPr baseColWidth="10" defaultColWidth="8.5" defaultRowHeight="15.5" customHeight="1" x14ac:dyDescent="0.2"/>
  <cols>
    <col min="1" max="1" width="5.6640625" style="259" customWidth="1"/>
    <col min="2" max="2" width="1.5" style="259" customWidth="1"/>
    <col min="3" max="3" width="33.33203125" style="259" customWidth="1"/>
    <col min="4" max="4" width="13.1640625" style="259" customWidth="1"/>
    <col min="5" max="5" width="13.5" style="259" customWidth="1"/>
    <col min="6" max="6" width="12.5" style="259" customWidth="1"/>
    <col min="7" max="16384" width="8.5" style="259"/>
  </cols>
  <sheetData>
    <row r="2" spans="3:6" ht="15.5" customHeight="1" x14ac:dyDescent="0.25">
      <c r="C2" s="65" t="s">
        <v>223</v>
      </c>
    </row>
    <row r="3" spans="3:6" s="255" customFormat="1" ht="15.5" customHeight="1" thickBot="1" x14ac:dyDescent="0.25">
      <c r="C3" s="194" t="s">
        <v>68</v>
      </c>
      <c r="D3" s="334"/>
      <c r="E3" s="334"/>
      <c r="F3" s="334"/>
    </row>
    <row r="4" spans="3:6" s="255" customFormat="1" ht="15.5" customHeight="1" thickTop="1" x14ac:dyDescent="0.2">
      <c r="C4" s="19" t="s">
        <v>69</v>
      </c>
    </row>
    <row r="5" spans="3:6" s="255" customFormat="1" ht="15.5" customHeight="1" x14ac:dyDescent="0.2"/>
    <row r="6" spans="3:6" s="255" customFormat="1" ht="15.5" customHeight="1" x14ac:dyDescent="0.2">
      <c r="C6" s="255" t="s">
        <v>206</v>
      </c>
      <c r="D6" s="256">
        <f>AVERAGE(F10:F15)</f>
        <v>2.0777063809087965E-2</v>
      </c>
    </row>
    <row r="7" spans="3:6" s="255" customFormat="1" ht="15.5" customHeight="1" x14ac:dyDescent="0.2">
      <c r="C7" s="257"/>
      <c r="D7" s="258"/>
      <c r="E7" s="258"/>
      <c r="F7" s="258"/>
    </row>
    <row r="8" spans="3:6" ht="15.5" customHeight="1" x14ac:dyDescent="0.2">
      <c r="C8" s="337"/>
      <c r="D8" s="338" t="s">
        <v>186</v>
      </c>
      <c r="E8" s="338"/>
      <c r="F8" s="339" t="s">
        <v>207</v>
      </c>
    </row>
    <row r="9" spans="3:6" ht="15.5" customHeight="1" x14ac:dyDescent="0.2">
      <c r="C9" s="340" t="s">
        <v>139</v>
      </c>
      <c r="D9" s="341" t="s">
        <v>31</v>
      </c>
      <c r="E9" s="341" t="s">
        <v>208</v>
      </c>
      <c r="F9" s="342" t="s">
        <v>31</v>
      </c>
    </row>
    <row r="10" spans="3:6" ht="15.5" customHeight="1" x14ac:dyDescent="0.2">
      <c r="C10" s="260" t="s">
        <v>190</v>
      </c>
      <c r="D10" s="261">
        <v>733780</v>
      </c>
      <c r="E10" s="261">
        <v>12588</v>
      </c>
      <c r="F10" s="262">
        <f>E10/D10</f>
        <v>1.7155005587505791E-2</v>
      </c>
    </row>
    <row r="11" spans="3:6" ht="15.5" customHeight="1" x14ac:dyDescent="0.2">
      <c r="C11" s="260" t="s">
        <v>193</v>
      </c>
      <c r="D11" s="261">
        <v>854503</v>
      </c>
      <c r="E11" s="261">
        <v>11038</v>
      </c>
      <c r="F11" s="262">
        <f t="shared" ref="F11:F15" si="0">E11/D11</f>
        <v>1.2917450260560816E-2</v>
      </c>
    </row>
    <row r="12" spans="3:6" ht="15.5" customHeight="1" x14ac:dyDescent="0.2">
      <c r="C12" s="260" t="s">
        <v>195</v>
      </c>
      <c r="D12" s="261">
        <v>4993100</v>
      </c>
      <c r="E12" s="261">
        <v>121400</v>
      </c>
      <c r="F12" s="262">
        <f t="shared" si="0"/>
        <v>2.4313552702729765E-2</v>
      </c>
    </row>
    <row r="13" spans="3:6" ht="15.5" customHeight="1" x14ac:dyDescent="0.2">
      <c r="C13" s="260" t="s">
        <v>198</v>
      </c>
      <c r="D13" s="261">
        <v>602463</v>
      </c>
      <c r="E13" s="261">
        <v>12707</v>
      </c>
      <c r="F13" s="262">
        <f t="shared" si="0"/>
        <v>2.1091751692635066E-2</v>
      </c>
    </row>
    <row r="14" spans="3:6" ht="15.5" customHeight="1" x14ac:dyDescent="0.2">
      <c r="C14" s="260" t="s">
        <v>200</v>
      </c>
      <c r="D14" s="261">
        <v>200164</v>
      </c>
      <c r="E14" s="261">
        <v>3581</v>
      </c>
      <c r="F14" s="262">
        <f t="shared" si="0"/>
        <v>1.7890329929457844E-2</v>
      </c>
    </row>
    <row r="15" spans="3:6" ht="15.5" customHeight="1" x14ac:dyDescent="0.2">
      <c r="C15" s="265" t="s">
        <v>202</v>
      </c>
      <c r="D15" s="266">
        <v>454364</v>
      </c>
      <c r="E15" s="266">
        <v>14219</v>
      </c>
      <c r="F15" s="267">
        <f t="shared" si="0"/>
        <v>3.1294292681638511E-2</v>
      </c>
    </row>
    <row r="16" spans="3:6" ht="15.5" customHeight="1" x14ac:dyDescent="0.2">
      <c r="C16" s="268"/>
    </row>
    <row r="17" spans="3:6" ht="15.5" customHeight="1" x14ac:dyDescent="0.2">
      <c r="C17" s="268"/>
      <c r="F17" s="26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B00A-DBCE-4023-B4A6-43E41A0F0AFE}">
  <sheetPr>
    <tabColor rgb="FF182434"/>
  </sheetPr>
  <dimension ref="A1"/>
  <sheetViews>
    <sheetView showGridLines="0" workbookViewId="0">
      <selection activeCell="J8" sqref="J8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11DD-826B-4409-861A-80C3DDBA0D67}">
  <sheetPr>
    <tabColor theme="5" tint="0.39997558519241921"/>
  </sheetPr>
  <dimension ref="A1:R43"/>
  <sheetViews>
    <sheetView showGridLines="0" workbookViewId="0">
      <selection activeCell="G51" sqref="G51"/>
    </sheetView>
  </sheetViews>
  <sheetFormatPr baseColWidth="10" defaultColWidth="8.83203125" defaultRowHeight="15" x14ac:dyDescent="0.2"/>
  <cols>
    <col min="1" max="1" width="2.83203125" customWidth="1"/>
    <col min="2" max="2" width="29.6640625" bestFit="1" customWidth="1"/>
    <col min="3" max="3" width="31.5" bestFit="1" customWidth="1"/>
    <col min="5" max="6" width="0" hidden="1" customWidth="1"/>
  </cols>
  <sheetData>
    <row r="1" spans="1:16" x14ac:dyDescent="0.2">
      <c r="A1" s="58"/>
      <c r="B1" s="64" t="s">
        <v>21</v>
      </c>
      <c r="C1" s="63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16" thickBot="1" x14ac:dyDescent="0.25">
      <c r="A2" s="58"/>
      <c r="B2" s="62" t="s">
        <v>209</v>
      </c>
      <c r="C2" s="59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ht="16" thickBot="1" x14ac:dyDescent="0.25">
      <c r="A3" s="58"/>
      <c r="B3" s="61"/>
      <c r="C3" s="59"/>
      <c r="D3" s="58"/>
      <c r="E3" s="60"/>
      <c r="F3" s="60"/>
      <c r="G3" s="390" t="s">
        <v>22</v>
      </c>
      <c r="H3" s="391"/>
      <c r="I3" s="390" t="s">
        <v>23</v>
      </c>
      <c r="J3" s="392"/>
      <c r="K3" s="392"/>
      <c r="L3" s="392"/>
      <c r="M3" s="392"/>
      <c r="N3" s="392"/>
      <c r="O3" s="392"/>
      <c r="P3" s="391"/>
    </row>
    <row r="4" spans="1:16" x14ac:dyDescent="0.2">
      <c r="A4" s="58"/>
      <c r="B4" s="57" t="s">
        <v>24</v>
      </c>
      <c r="C4" s="59"/>
      <c r="D4" s="58"/>
      <c r="E4" s="54">
        <v>43101</v>
      </c>
      <c r="F4" s="54">
        <v>42736</v>
      </c>
      <c r="G4" s="54">
        <v>44197</v>
      </c>
      <c r="H4" s="54">
        <v>44562</v>
      </c>
      <c r="I4" s="54">
        <v>44927</v>
      </c>
      <c r="J4" s="54">
        <v>45292</v>
      </c>
      <c r="K4" s="54">
        <v>45658</v>
      </c>
      <c r="L4" s="54">
        <v>46023</v>
      </c>
      <c r="M4" s="54">
        <v>46388</v>
      </c>
      <c r="N4" s="54">
        <v>46753</v>
      </c>
      <c r="O4" s="54">
        <v>47119</v>
      </c>
      <c r="P4" s="54">
        <v>47484</v>
      </c>
    </row>
    <row r="5" spans="1:16" x14ac:dyDescent="0.2">
      <c r="A5" s="58"/>
      <c r="B5" s="57" t="s">
        <v>25</v>
      </c>
      <c r="C5" s="56" t="s">
        <v>26</v>
      </c>
      <c r="D5" s="55"/>
      <c r="E5" s="54">
        <v>42735</v>
      </c>
      <c r="F5" s="54">
        <v>43100</v>
      </c>
      <c r="G5" s="54">
        <v>44561</v>
      </c>
      <c r="H5" s="54">
        <v>44926</v>
      </c>
      <c r="I5" s="54">
        <v>45291</v>
      </c>
      <c r="J5" s="54">
        <v>45657</v>
      </c>
      <c r="K5" s="54">
        <v>46022</v>
      </c>
      <c r="L5" s="54">
        <v>46387</v>
      </c>
      <c r="M5" s="54">
        <v>46752</v>
      </c>
      <c r="N5" s="54">
        <v>47118</v>
      </c>
      <c r="O5" s="54">
        <v>47483</v>
      </c>
      <c r="P5" s="54">
        <v>47848</v>
      </c>
    </row>
    <row r="6" spans="1:16" x14ac:dyDescent="0.2">
      <c r="A6" s="4"/>
      <c r="B6" s="4" t="s">
        <v>27</v>
      </c>
      <c r="C6" s="5"/>
      <c r="D6" s="4"/>
      <c r="E6" s="53">
        <f t="shared" ref="E6:P6" si="0">YEAR(E5)</f>
        <v>2016</v>
      </c>
      <c r="F6" s="53">
        <f t="shared" si="0"/>
        <v>2017</v>
      </c>
      <c r="G6" s="52">
        <f t="shared" si="0"/>
        <v>2021</v>
      </c>
      <c r="H6" s="52">
        <f t="shared" si="0"/>
        <v>2022</v>
      </c>
      <c r="I6" s="52">
        <f t="shared" si="0"/>
        <v>2023</v>
      </c>
      <c r="J6" s="52">
        <f t="shared" si="0"/>
        <v>2024</v>
      </c>
      <c r="K6" s="52">
        <f t="shared" si="0"/>
        <v>2025</v>
      </c>
      <c r="L6" s="52">
        <f t="shared" si="0"/>
        <v>2026</v>
      </c>
      <c r="M6" s="52">
        <f t="shared" si="0"/>
        <v>2027</v>
      </c>
      <c r="N6" s="52">
        <f t="shared" si="0"/>
        <v>2028</v>
      </c>
      <c r="O6" s="52">
        <f t="shared" si="0"/>
        <v>2029</v>
      </c>
      <c r="P6" s="52">
        <f t="shared" si="0"/>
        <v>2030</v>
      </c>
    </row>
    <row r="7" spans="1:16" x14ac:dyDescent="0.2">
      <c r="A7" s="4"/>
      <c r="B7" s="4" t="s">
        <v>28</v>
      </c>
      <c r="C7" s="5"/>
      <c r="D7" s="4"/>
      <c r="E7" s="51">
        <f t="shared" ref="E7:P7" si="1">+E5-E4+1</f>
        <v>-365</v>
      </c>
      <c r="F7" s="51">
        <f t="shared" si="1"/>
        <v>365</v>
      </c>
      <c r="G7" s="51">
        <f t="shared" si="1"/>
        <v>365</v>
      </c>
      <c r="H7" s="51">
        <f t="shared" si="1"/>
        <v>365</v>
      </c>
      <c r="I7" s="51">
        <f t="shared" si="1"/>
        <v>365</v>
      </c>
      <c r="J7" s="51">
        <f t="shared" si="1"/>
        <v>366</v>
      </c>
      <c r="K7" s="51">
        <f t="shared" si="1"/>
        <v>365</v>
      </c>
      <c r="L7" s="51">
        <f t="shared" si="1"/>
        <v>365</v>
      </c>
      <c r="M7" s="51">
        <f t="shared" si="1"/>
        <v>365</v>
      </c>
      <c r="N7" s="51">
        <f t="shared" si="1"/>
        <v>366</v>
      </c>
      <c r="O7" s="51">
        <f t="shared" si="1"/>
        <v>365</v>
      </c>
      <c r="P7" s="51">
        <f t="shared" si="1"/>
        <v>365</v>
      </c>
    </row>
    <row r="8" spans="1:16" x14ac:dyDescent="0.2">
      <c r="A8" s="4"/>
      <c r="B8" s="4" t="s">
        <v>29</v>
      </c>
      <c r="C8" s="5"/>
      <c r="D8" s="4"/>
      <c r="E8" s="51">
        <f t="shared" ref="E8:P8" si="2">+E7</f>
        <v>-365</v>
      </c>
      <c r="F8" s="51">
        <f t="shared" si="2"/>
        <v>365</v>
      </c>
      <c r="G8" s="51">
        <f t="shared" si="2"/>
        <v>365</v>
      </c>
      <c r="H8" s="51">
        <f t="shared" si="2"/>
        <v>365</v>
      </c>
      <c r="I8" s="51">
        <f t="shared" si="2"/>
        <v>365</v>
      </c>
      <c r="J8" s="51">
        <f t="shared" si="2"/>
        <v>366</v>
      </c>
      <c r="K8" s="51">
        <f t="shared" si="2"/>
        <v>365</v>
      </c>
      <c r="L8" s="51">
        <f t="shared" si="2"/>
        <v>365</v>
      </c>
      <c r="M8" s="51">
        <f t="shared" si="2"/>
        <v>365</v>
      </c>
      <c r="N8" s="51">
        <f t="shared" si="2"/>
        <v>366</v>
      </c>
      <c r="O8" s="51">
        <f t="shared" si="2"/>
        <v>365</v>
      </c>
      <c r="P8" s="51">
        <f t="shared" si="2"/>
        <v>365</v>
      </c>
    </row>
    <row r="9" spans="1:16" x14ac:dyDescent="0.2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">
      <c r="A10" s="50" t="s">
        <v>30</v>
      </c>
      <c r="B10" s="50"/>
      <c r="C10" s="4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x14ac:dyDescent="0.2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">
      <c r="A12" s="22"/>
      <c r="B12" s="22" t="s">
        <v>31</v>
      </c>
      <c r="C12" s="23" t="s">
        <v>32</v>
      </c>
      <c r="D12" s="22"/>
      <c r="E12" s="47">
        <v>0</v>
      </c>
      <c r="F12" s="47">
        <v>0</v>
      </c>
      <c r="G12" s="47">
        <v>13563.457150000002</v>
      </c>
      <c r="H12" s="46">
        <v>15755.558590000001</v>
      </c>
      <c r="I12" s="45">
        <v>16380.097229999998</v>
      </c>
      <c r="J12" s="45">
        <v>17191.966910000003</v>
      </c>
      <c r="K12" s="45">
        <v>18351.806248199999</v>
      </c>
      <c r="L12" s="45">
        <v>18718.842373164</v>
      </c>
      <c r="M12" s="45">
        <v>19093.219220627281</v>
      </c>
      <c r="N12" s="45">
        <v>19475.083605039825</v>
      </c>
      <c r="O12" s="45">
        <v>19864.585277140621</v>
      </c>
      <c r="P12" s="45">
        <v>20261.876982683436</v>
      </c>
    </row>
    <row r="13" spans="1:16" x14ac:dyDescent="0.2">
      <c r="A13" s="19"/>
      <c r="B13" s="44" t="s">
        <v>33</v>
      </c>
      <c r="C13" s="43" t="s">
        <v>34</v>
      </c>
      <c r="D13" s="19"/>
      <c r="E13" s="42"/>
      <c r="F13" s="42"/>
      <c r="G13" s="42"/>
      <c r="H13" s="41">
        <f t="shared" ref="H13:P13" si="3">H12/G12-1</f>
        <v>0.16161819333797189</v>
      </c>
      <c r="I13" s="16">
        <f t="shared" si="3"/>
        <v>3.9639257245781767E-2</v>
      </c>
      <c r="J13" s="16">
        <f t="shared" si="3"/>
        <v>4.9564399319502961E-2</v>
      </c>
      <c r="K13" s="16">
        <f t="shared" si="3"/>
        <v>6.746402807030516E-2</v>
      </c>
      <c r="L13" s="16">
        <f t="shared" si="3"/>
        <v>2.0000000000000018E-2</v>
      </c>
      <c r="M13" s="16">
        <f t="shared" si="3"/>
        <v>2.0000000000000018E-2</v>
      </c>
      <c r="N13" s="16">
        <f t="shared" si="3"/>
        <v>1.9999999999999796E-2</v>
      </c>
      <c r="O13" s="16">
        <f t="shared" si="3"/>
        <v>2.0000000000000018E-2</v>
      </c>
      <c r="P13" s="16">
        <f t="shared" si="3"/>
        <v>2.000000000000024E-2</v>
      </c>
    </row>
    <row r="14" spans="1:16" x14ac:dyDescent="0.2">
      <c r="A14" s="4"/>
      <c r="B14" s="4"/>
      <c r="C14" s="5"/>
      <c r="D14" s="4"/>
      <c r="E14" s="40"/>
      <c r="F14" s="40"/>
      <c r="G14" s="40"/>
      <c r="H14" s="39"/>
      <c r="I14" s="1"/>
      <c r="J14" s="1"/>
      <c r="K14" s="1"/>
      <c r="L14" s="1"/>
      <c r="M14" s="1"/>
      <c r="N14" s="1"/>
      <c r="O14" s="1"/>
      <c r="P14" s="1"/>
    </row>
    <row r="15" spans="1:16" x14ac:dyDescent="0.2">
      <c r="A15" s="4"/>
      <c r="B15" s="22" t="s">
        <v>35</v>
      </c>
      <c r="C15" s="5"/>
      <c r="D15" s="4"/>
      <c r="E15" s="40"/>
      <c r="F15" s="40"/>
      <c r="G15" s="40"/>
      <c r="H15" s="39"/>
      <c r="I15" s="38"/>
      <c r="J15" s="1"/>
      <c r="K15" s="1"/>
      <c r="L15" s="1"/>
      <c r="M15" s="1"/>
      <c r="N15" s="1"/>
      <c r="O15" s="1"/>
      <c r="P15" s="1"/>
    </row>
    <row r="16" spans="1:16" x14ac:dyDescent="0.2">
      <c r="A16" s="4"/>
      <c r="B16" s="4" t="s">
        <v>36</v>
      </c>
      <c r="C16" s="5" t="s">
        <v>32</v>
      </c>
      <c r="D16" s="4"/>
      <c r="E16" s="3">
        <v>0</v>
      </c>
      <c r="F16" s="3">
        <v>0</v>
      </c>
      <c r="G16" s="3">
        <v>4886.8441399999992</v>
      </c>
      <c r="H16" s="2">
        <v>5278.8393300000007</v>
      </c>
      <c r="I16" s="1">
        <v>5386.6709599999995</v>
      </c>
      <c r="J16" s="1">
        <v>5052.2209631999986</v>
      </c>
      <c r="K16" s="1">
        <v>5153.2653824640001</v>
      </c>
      <c r="L16" s="1">
        <v>5256.330690113281</v>
      </c>
      <c r="M16" s="1">
        <v>5361.4573039155466</v>
      </c>
      <c r="N16" s="1">
        <v>5468.6864499938574</v>
      </c>
      <c r="O16" s="1">
        <v>5578.0601789937318</v>
      </c>
      <c r="P16" s="1">
        <v>5689.6213825736086</v>
      </c>
    </row>
    <row r="17" spans="1:18" x14ac:dyDescent="0.2">
      <c r="A17" s="4"/>
      <c r="B17" s="4" t="s">
        <v>37</v>
      </c>
      <c r="C17" s="5" t="s">
        <v>32</v>
      </c>
      <c r="D17" s="4"/>
      <c r="E17" s="3">
        <v>0</v>
      </c>
      <c r="F17" s="3">
        <v>0</v>
      </c>
      <c r="G17" s="3">
        <v>1877.89807</v>
      </c>
      <c r="H17" s="2">
        <v>2622.0151499999997</v>
      </c>
      <c r="I17" s="1">
        <v>2916.1929700000005</v>
      </c>
      <c r="J17" s="1">
        <v>2916.1929700000005</v>
      </c>
      <c r="K17" s="1">
        <v>2974.5168294000009</v>
      </c>
      <c r="L17" s="1">
        <v>3034.007165988</v>
      </c>
      <c r="M17" s="1">
        <v>3094.6873093077611</v>
      </c>
      <c r="N17" s="1">
        <v>3156.5810554939158</v>
      </c>
      <c r="O17" s="1">
        <v>3219.7126766037941</v>
      </c>
      <c r="P17" s="1">
        <v>3284.1069301358698</v>
      </c>
    </row>
    <row r="18" spans="1:18" x14ac:dyDescent="0.2">
      <c r="A18" s="22"/>
      <c r="B18" s="30" t="s">
        <v>38</v>
      </c>
      <c r="C18" s="37"/>
      <c r="D18" s="30"/>
      <c r="E18" s="27">
        <f>+SUM(E16:E17)</f>
        <v>0</v>
      </c>
      <c r="F18" s="27">
        <f>+SUM(F16:F17)</f>
        <v>0</v>
      </c>
      <c r="G18" s="27">
        <f t="shared" ref="G18:P18" si="4">SUM(G16:G17)</f>
        <v>6764.7422099999994</v>
      </c>
      <c r="H18" s="26">
        <f t="shared" si="4"/>
        <v>7900.85448</v>
      </c>
      <c r="I18" s="36">
        <f t="shared" si="4"/>
        <v>8302.8639299999995</v>
      </c>
      <c r="J18" s="36">
        <f t="shared" si="4"/>
        <v>7968.4139331999995</v>
      </c>
      <c r="K18" s="36">
        <f t="shared" si="4"/>
        <v>8127.7822118640015</v>
      </c>
      <c r="L18" s="36">
        <f t="shared" si="4"/>
        <v>8290.3378561012814</v>
      </c>
      <c r="M18" s="36">
        <f t="shared" si="4"/>
        <v>8456.1446132233068</v>
      </c>
      <c r="N18" s="36">
        <f t="shared" si="4"/>
        <v>8625.2675054877727</v>
      </c>
      <c r="O18" s="36">
        <f t="shared" si="4"/>
        <v>8797.7728555975264</v>
      </c>
      <c r="P18" s="36">
        <f t="shared" si="4"/>
        <v>8973.7283127094779</v>
      </c>
    </row>
    <row r="19" spans="1:18" x14ac:dyDescent="0.2">
      <c r="A19" s="4"/>
      <c r="B19" s="4"/>
      <c r="C19" s="5"/>
      <c r="D19" s="4"/>
      <c r="E19" s="15"/>
      <c r="F19" s="15"/>
      <c r="G19" s="15"/>
      <c r="H19" s="25"/>
      <c r="I19" s="1"/>
      <c r="J19" s="1"/>
      <c r="K19" s="1"/>
      <c r="L19" s="1"/>
      <c r="M19" s="1"/>
      <c r="N19" s="1"/>
      <c r="O19" s="1"/>
      <c r="P19" s="1"/>
    </row>
    <row r="20" spans="1:18" x14ac:dyDescent="0.2">
      <c r="A20" s="34"/>
      <c r="B20" s="34" t="s">
        <v>39</v>
      </c>
      <c r="C20" s="35" t="s">
        <v>32</v>
      </c>
      <c r="D20" s="34"/>
      <c r="E20" s="33">
        <f>+E12-E18</f>
        <v>0</v>
      </c>
      <c r="F20" s="33">
        <f>+F12-F18</f>
        <v>0</v>
      </c>
      <c r="G20" s="33">
        <f t="shared" ref="G20:P20" si="5">G12-G18</f>
        <v>6798.7149400000026</v>
      </c>
      <c r="H20" s="32">
        <f t="shared" si="5"/>
        <v>7854.7041100000006</v>
      </c>
      <c r="I20" s="31">
        <f t="shared" si="5"/>
        <v>8077.2332999999981</v>
      </c>
      <c r="J20" s="31">
        <f t="shared" si="5"/>
        <v>9223.5529768000033</v>
      </c>
      <c r="K20" s="31">
        <f t="shared" si="5"/>
        <v>10224.024036335997</v>
      </c>
      <c r="L20" s="31">
        <f t="shared" si="5"/>
        <v>10428.504517062718</v>
      </c>
      <c r="M20" s="31">
        <f t="shared" si="5"/>
        <v>10637.074607403974</v>
      </c>
      <c r="N20" s="31">
        <f t="shared" si="5"/>
        <v>10849.816099552052</v>
      </c>
      <c r="O20" s="31">
        <f t="shared" si="5"/>
        <v>11066.812421543094</v>
      </c>
      <c r="P20" s="31">
        <f t="shared" si="5"/>
        <v>11288.148669973958</v>
      </c>
    </row>
    <row r="21" spans="1:18" x14ac:dyDescent="0.2">
      <c r="A21" s="19"/>
      <c r="B21" s="19" t="s">
        <v>40</v>
      </c>
      <c r="C21" s="20" t="s">
        <v>34</v>
      </c>
      <c r="D21" s="19"/>
      <c r="E21" s="18" t="str">
        <f>+IFERROR(E20/E$12,"n.a.")</f>
        <v>n.a.</v>
      </c>
      <c r="F21" s="18" t="str">
        <f>+IFERROR(F20/F$12,"n.a.")</f>
        <v>n.a.</v>
      </c>
      <c r="G21" s="18">
        <f t="shared" ref="G21:P21" si="6">G20/G12</f>
        <v>0.50125236249225746</v>
      </c>
      <c r="H21" s="17">
        <f t="shared" si="6"/>
        <v>0.49853542577572302</v>
      </c>
      <c r="I21" s="16">
        <f t="shared" si="6"/>
        <v>0.49311265901441781</v>
      </c>
      <c r="J21" s="16">
        <f t="shared" si="6"/>
        <v>0.53650364877301882</v>
      </c>
      <c r="K21" s="16">
        <f t="shared" si="6"/>
        <v>0.55711268406284531</v>
      </c>
      <c r="L21" s="16">
        <f t="shared" si="6"/>
        <v>0.55711268406284542</v>
      </c>
      <c r="M21" s="16">
        <f t="shared" si="6"/>
        <v>0.55711268406284542</v>
      </c>
      <c r="N21" s="16">
        <f t="shared" si="6"/>
        <v>0.55711268406284542</v>
      </c>
      <c r="O21" s="16">
        <f t="shared" si="6"/>
        <v>0.55711268406284553</v>
      </c>
      <c r="P21" s="16">
        <f t="shared" si="6"/>
        <v>0.55711268406284553</v>
      </c>
    </row>
    <row r="22" spans="1:18" x14ac:dyDescent="0.2">
      <c r="A22" s="4"/>
      <c r="B22" s="4"/>
      <c r="C22" s="5"/>
      <c r="D22" s="4"/>
      <c r="E22" s="15"/>
      <c r="F22" s="15"/>
      <c r="G22" s="15"/>
      <c r="H22" s="25"/>
      <c r="I22" s="4"/>
      <c r="J22" s="14"/>
      <c r="K22" s="14"/>
      <c r="L22" s="14"/>
      <c r="M22" s="14"/>
      <c r="N22" s="14"/>
      <c r="O22" s="4"/>
      <c r="P22" s="4"/>
    </row>
    <row r="23" spans="1:18" x14ac:dyDescent="0.2">
      <c r="A23" s="4"/>
      <c r="B23" s="22" t="s">
        <v>41</v>
      </c>
      <c r="C23" s="5"/>
      <c r="D23" s="4"/>
      <c r="E23" s="15"/>
      <c r="F23" s="15"/>
      <c r="G23" s="15"/>
      <c r="H23" s="25"/>
      <c r="I23" s="4"/>
      <c r="J23" s="4"/>
      <c r="K23" s="4"/>
      <c r="L23" s="4"/>
      <c r="M23" s="4"/>
      <c r="N23" s="4"/>
      <c r="O23" s="4"/>
      <c r="P23" s="4"/>
    </row>
    <row r="24" spans="1:18" x14ac:dyDescent="0.2">
      <c r="A24" s="4"/>
      <c r="B24" s="4" t="s">
        <v>42</v>
      </c>
      <c r="C24" s="5" t="s">
        <v>32</v>
      </c>
      <c r="D24" s="4"/>
      <c r="E24" s="3">
        <v>0</v>
      </c>
      <c r="F24" s="3">
        <v>0</v>
      </c>
      <c r="G24" s="3">
        <f>699+G43</f>
        <v>3732.3637600000002</v>
      </c>
      <c r="H24" s="2">
        <f>794+H43</f>
        <v>4224.7069699999993</v>
      </c>
      <c r="I24" s="1">
        <f>787+I43</f>
        <v>4056.7653299999997</v>
      </c>
      <c r="J24" s="1">
        <f>931+J43</f>
        <v>4200.9513299999981</v>
      </c>
      <c r="K24" s="1">
        <f>944+K43</f>
        <v>4279.3503565999999</v>
      </c>
      <c r="L24" s="1">
        <f>959+L43</f>
        <v>4361.0573637320012</v>
      </c>
      <c r="M24" s="1">
        <f>973+M43</f>
        <v>4443.0985110066413</v>
      </c>
      <c r="N24" s="1">
        <f>988+N43</f>
        <v>4527.5004812267744</v>
      </c>
      <c r="O24" s="1">
        <f>1003+O43</f>
        <v>4613.2904908513083</v>
      </c>
      <c r="P24" s="1">
        <f>1018+P43</f>
        <v>4700.4963006683338</v>
      </c>
    </row>
    <row r="25" spans="1:18" x14ac:dyDescent="0.2">
      <c r="A25" s="4"/>
      <c r="B25" s="4" t="s">
        <v>43</v>
      </c>
      <c r="C25" s="5" t="s">
        <v>32</v>
      </c>
      <c r="D25" s="4"/>
      <c r="E25" s="3">
        <v>0</v>
      </c>
      <c r="F25" s="3">
        <v>0</v>
      </c>
      <c r="G25" s="3">
        <v>233.78640999999999</v>
      </c>
      <c r="H25" s="2">
        <v>231.49663000000001</v>
      </c>
      <c r="I25" s="1">
        <v>273.11919999999998</v>
      </c>
      <c r="J25" s="1">
        <v>273.11919999999992</v>
      </c>
      <c r="K25" s="1">
        <v>277.21598800000004</v>
      </c>
      <c r="L25" s="1">
        <v>281.37422781999993</v>
      </c>
      <c r="M25" s="1">
        <v>285.59484123729987</v>
      </c>
      <c r="N25" s="1">
        <v>289.87876385585935</v>
      </c>
      <c r="O25" s="1">
        <v>294.22694531369723</v>
      </c>
      <c r="P25" s="1">
        <v>298.64034949340265</v>
      </c>
    </row>
    <row r="26" spans="1:18" x14ac:dyDescent="0.2">
      <c r="A26" s="4"/>
      <c r="B26" s="4" t="s">
        <v>44</v>
      </c>
      <c r="C26" s="5" t="s">
        <v>32</v>
      </c>
      <c r="D26" s="4"/>
      <c r="E26" s="3">
        <v>0</v>
      </c>
      <c r="F26" s="3">
        <v>0</v>
      </c>
      <c r="G26" s="3">
        <v>139.57787000000002</v>
      </c>
      <c r="H26" s="2">
        <v>21.188420000000001</v>
      </c>
      <c r="I26" s="1">
        <v>110.17088</v>
      </c>
      <c r="J26" s="1">
        <v>110.17056000000001</v>
      </c>
      <c r="K26" s="1">
        <v>111.82311839999996</v>
      </c>
      <c r="L26" s="1">
        <v>113.50046517599998</v>
      </c>
      <c r="M26" s="1">
        <v>115.20297215364</v>
      </c>
      <c r="N26" s="1">
        <v>116.93101673594454</v>
      </c>
      <c r="O26" s="1">
        <v>118.6849819869837</v>
      </c>
      <c r="P26" s="1">
        <v>120.46525671678843</v>
      </c>
    </row>
    <row r="27" spans="1:18" x14ac:dyDescent="0.2">
      <c r="A27" s="4"/>
      <c r="B27" s="4" t="s">
        <v>45</v>
      </c>
      <c r="C27" s="5" t="s">
        <v>32</v>
      </c>
      <c r="D27" s="4"/>
      <c r="E27" s="3">
        <v>0</v>
      </c>
      <c r="F27" s="3">
        <v>0</v>
      </c>
      <c r="G27" s="3">
        <v>202.160416</v>
      </c>
      <c r="H27" s="2">
        <v>291.00544000000002</v>
      </c>
      <c r="I27" s="1">
        <v>320.60965999999996</v>
      </c>
      <c r="J27" s="1">
        <v>176.81000000000006</v>
      </c>
      <c r="K27" s="1">
        <v>179.46214999999995</v>
      </c>
      <c r="L27" s="1">
        <v>182.15408224999999</v>
      </c>
      <c r="M27" s="1">
        <v>184.88639348374991</v>
      </c>
      <c r="N27" s="1">
        <v>187.65968938600614</v>
      </c>
      <c r="O27" s="1">
        <v>190.47458472679625</v>
      </c>
      <c r="P27" s="1">
        <v>193.33170349769821</v>
      </c>
    </row>
    <row r="28" spans="1:18" x14ac:dyDescent="0.2">
      <c r="A28" s="4"/>
      <c r="B28" s="30" t="s">
        <v>46</v>
      </c>
      <c r="C28" s="29" t="s">
        <v>32</v>
      </c>
      <c r="D28" s="28"/>
      <c r="E28" s="27">
        <f>+SUM(E24:E27)</f>
        <v>0</v>
      </c>
      <c r="F28" s="27">
        <f>+SUM(F24:F27)</f>
        <v>0</v>
      </c>
      <c r="G28" s="27">
        <f>SUM(G24:G27)</f>
        <v>4307.8884559999997</v>
      </c>
      <c r="H28" s="27">
        <f t="shared" ref="H28:P28" si="7">SUM(H24:H27)</f>
        <v>4768.3974599999992</v>
      </c>
      <c r="I28" s="27">
        <f t="shared" si="7"/>
        <v>4760.6650699999991</v>
      </c>
      <c r="J28" s="27">
        <f t="shared" si="7"/>
        <v>4761.0510899999981</v>
      </c>
      <c r="K28" s="27">
        <f t="shared" si="7"/>
        <v>4847.8516129999998</v>
      </c>
      <c r="L28" s="27">
        <f t="shared" si="7"/>
        <v>4938.0861389780011</v>
      </c>
      <c r="M28" s="27">
        <f>SUM(M24:M27)</f>
        <v>5028.7827178813313</v>
      </c>
      <c r="N28" s="27">
        <f t="shared" si="7"/>
        <v>5121.9699512045845</v>
      </c>
      <c r="O28" s="27">
        <f t="shared" si="7"/>
        <v>5216.6770028787851</v>
      </c>
      <c r="P28" s="27">
        <f t="shared" si="7"/>
        <v>5312.9336103762234</v>
      </c>
    </row>
    <row r="29" spans="1:18" x14ac:dyDescent="0.2">
      <c r="A29" s="4"/>
      <c r="B29" s="4"/>
      <c r="C29" s="5"/>
      <c r="D29" s="4"/>
      <c r="E29" s="15"/>
      <c r="F29" s="15"/>
      <c r="G29" s="15"/>
      <c r="H29" s="25"/>
      <c r="I29" s="24"/>
      <c r="J29" s="24"/>
      <c r="K29" s="24"/>
      <c r="L29" s="24"/>
      <c r="M29" s="24"/>
      <c r="N29" s="24"/>
      <c r="O29" s="24"/>
      <c r="P29" s="24"/>
    </row>
    <row r="30" spans="1:18" x14ac:dyDescent="0.2">
      <c r="A30" s="22"/>
      <c r="B30" s="22" t="s">
        <v>47</v>
      </c>
      <c r="C30" s="23" t="s">
        <v>32</v>
      </c>
      <c r="D30" s="22"/>
      <c r="E30" s="21">
        <f>+E20-E28</f>
        <v>0</v>
      </c>
      <c r="F30" s="21">
        <f>+F20-F28</f>
        <v>0</v>
      </c>
      <c r="G30" s="21">
        <f>G20-G28</f>
        <v>2490.8264840000029</v>
      </c>
      <c r="H30" s="21">
        <f t="shared" ref="H30:P30" si="8">H20-H28</f>
        <v>3086.3066500000014</v>
      </c>
      <c r="I30" s="21">
        <f t="shared" si="8"/>
        <v>3316.5682299999989</v>
      </c>
      <c r="J30" s="21">
        <f t="shared" si="8"/>
        <v>4462.5018868000052</v>
      </c>
      <c r="K30" s="21">
        <f t="shared" si="8"/>
        <v>5376.1724233359973</v>
      </c>
      <c r="L30" s="21">
        <f t="shared" si="8"/>
        <v>5490.418378084717</v>
      </c>
      <c r="M30" s="21">
        <f t="shared" si="8"/>
        <v>5608.291889522643</v>
      </c>
      <c r="N30" s="21">
        <f t="shared" si="8"/>
        <v>5727.8461483474675</v>
      </c>
      <c r="O30" s="21">
        <f t="shared" si="8"/>
        <v>5850.1354186643093</v>
      </c>
      <c r="P30" s="21">
        <f t="shared" si="8"/>
        <v>5975.2150595977346</v>
      </c>
      <c r="R30" t="s">
        <v>48</v>
      </c>
    </row>
    <row r="31" spans="1:18" x14ac:dyDescent="0.2">
      <c r="A31" s="19"/>
      <c r="B31" s="19" t="s">
        <v>40</v>
      </c>
      <c r="C31" s="20" t="s">
        <v>34</v>
      </c>
      <c r="D31" s="19"/>
      <c r="E31" s="18" t="str">
        <f>+IFERROR(E30/E$12,"n.a.")</f>
        <v>n.a.</v>
      </c>
      <c r="F31" s="18" t="str">
        <f>+IFERROR(F30/F$12,"n.a.")</f>
        <v>n.a.</v>
      </c>
      <c r="G31" s="18">
        <v>0.18364244871006227</v>
      </c>
      <c r="H31" s="17">
        <v>0.1958868441490148</v>
      </c>
      <c r="I31" s="16">
        <f>I30/I12</f>
        <v>0.20247549104444476</v>
      </c>
      <c r="J31" s="16">
        <f t="shared" ref="J31:P31" si="9">J30/J12</f>
        <v>0.25956901325841397</v>
      </c>
      <c r="K31" s="16">
        <f t="shared" si="9"/>
        <v>0.29295058756754849</v>
      </c>
      <c r="L31" s="16">
        <f t="shared" si="9"/>
        <v>0.2933097180173907</v>
      </c>
      <c r="M31" s="16">
        <f t="shared" si="9"/>
        <v>0.29373212682038174</v>
      </c>
      <c r="N31" s="16">
        <f t="shared" si="9"/>
        <v>0.29411150496243299</v>
      </c>
      <c r="O31" s="16">
        <f t="shared" si="9"/>
        <v>0.29450075785858032</v>
      </c>
      <c r="P31" s="16">
        <f t="shared" si="9"/>
        <v>0.29489938492393269</v>
      </c>
    </row>
    <row r="32" spans="1:18" x14ac:dyDescent="0.2">
      <c r="A32" s="4"/>
      <c r="B32" s="4"/>
      <c r="C32" s="5"/>
      <c r="D32" s="4"/>
      <c r="E32" s="15"/>
      <c r="F32" s="15"/>
      <c r="G32" s="10"/>
      <c r="H32" s="9"/>
      <c r="I32" s="14"/>
      <c r="J32" s="4"/>
      <c r="K32" s="4"/>
      <c r="L32" s="13"/>
      <c r="M32" s="13"/>
      <c r="N32" s="13"/>
      <c r="O32" s="13"/>
      <c r="P32" s="13"/>
    </row>
    <row r="33" spans="1:16" x14ac:dyDescent="0.2">
      <c r="A33" s="4"/>
      <c r="B33" s="4"/>
      <c r="C33" s="5"/>
      <c r="D33" s="4"/>
      <c r="E33" s="4"/>
      <c r="F33" s="4"/>
      <c r="G33" s="10"/>
      <c r="H33" s="9"/>
      <c r="I33" s="4"/>
      <c r="J33" s="4"/>
      <c r="K33" s="4"/>
      <c r="L33" s="4"/>
      <c r="M33" s="4"/>
      <c r="N33" s="4"/>
      <c r="O33" s="4"/>
      <c r="P33" s="4"/>
    </row>
    <row r="34" spans="1:16" ht="19" x14ac:dyDescent="0.25">
      <c r="A34" s="4"/>
      <c r="B34" s="8" t="s">
        <v>49</v>
      </c>
      <c r="C34" s="11">
        <v>12000</v>
      </c>
      <c r="D34" s="4"/>
      <c r="E34" s="4"/>
      <c r="F34" s="4"/>
      <c r="G34" s="10"/>
      <c r="H34" s="9"/>
      <c r="I34" s="4"/>
      <c r="J34" s="4"/>
      <c r="K34" s="4"/>
      <c r="L34" s="4"/>
      <c r="M34" s="4"/>
      <c r="N34" s="4"/>
      <c r="O34" s="4"/>
      <c r="P34" s="4"/>
    </row>
    <row r="35" spans="1:16" ht="19" x14ac:dyDescent="0.25">
      <c r="A35" s="4"/>
      <c r="B35" s="8" t="s">
        <v>50</v>
      </c>
      <c r="C35" s="12" t="s">
        <v>51</v>
      </c>
      <c r="D35" s="4"/>
      <c r="E35" s="4"/>
      <c r="F35" s="4"/>
      <c r="G35" s="10"/>
      <c r="H35" s="9"/>
      <c r="I35" s="4"/>
      <c r="J35" s="4"/>
      <c r="K35" s="4"/>
      <c r="L35" s="4"/>
      <c r="M35" s="4"/>
      <c r="N35" s="4"/>
      <c r="O35" s="4"/>
      <c r="P35" s="4"/>
    </row>
    <row r="36" spans="1:16" ht="19" x14ac:dyDescent="0.25">
      <c r="A36" s="4"/>
      <c r="B36" s="8" t="s">
        <v>52</v>
      </c>
      <c r="C36" s="12" t="s">
        <v>53</v>
      </c>
      <c r="D36" s="4"/>
      <c r="E36" s="4"/>
      <c r="F36" s="4"/>
      <c r="G36" s="10"/>
      <c r="H36" s="9"/>
      <c r="I36" s="4"/>
      <c r="J36" s="4"/>
      <c r="K36" s="4"/>
      <c r="L36" s="4"/>
      <c r="M36" s="4"/>
      <c r="N36" s="4"/>
      <c r="O36" s="4"/>
      <c r="P36" s="4"/>
    </row>
    <row r="37" spans="1:16" ht="19" x14ac:dyDescent="0.25">
      <c r="A37" s="4"/>
      <c r="B37" s="8" t="s">
        <v>54</v>
      </c>
      <c r="C37" s="11">
        <v>250</v>
      </c>
      <c r="D37" s="4"/>
      <c r="E37" s="4"/>
      <c r="F37" s="4"/>
      <c r="G37" s="10"/>
      <c r="H37" s="9"/>
      <c r="I37" s="4"/>
      <c r="J37" s="4"/>
      <c r="K37" s="4"/>
      <c r="L37" s="4"/>
      <c r="M37" s="4"/>
      <c r="N37" s="4"/>
      <c r="O37" s="4"/>
      <c r="P37" s="4"/>
    </row>
    <row r="38" spans="1:16" ht="19" x14ac:dyDescent="0.25">
      <c r="A38" s="4"/>
      <c r="B38" s="8" t="s">
        <v>55</v>
      </c>
      <c r="C38" s="12" t="s">
        <v>56</v>
      </c>
      <c r="D38" s="4"/>
      <c r="E38" s="4"/>
      <c r="F38" s="4"/>
      <c r="G38" s="10"/>
      <c r="H38" s="9"/>
      <c r="I38" s="4"/>
      <c r="J38" s="4"/>
      <c r="K38" s="4"/>
      <c r="L38" s="4"/>
      <c r="M38" s="4"/>
      <c r="N38" s="4"/>
      <c r="O38" s="4"/>
      <c r="P38" s="4"/>
    </row>
    <row r="39" spans="1:16" ht="19" x14ac:dyDescent="0.25">
      <c r="A39" s="4"/>
      <c r="B39" s="8" t="s">
        <v>57</v>
      </c>
      <c r="C39" s="11">
        <v>1500</v>
      </c>
      <c r="D39" s="4"/>
      <c r="E39" s="4"/>
      <c r="F39" s="4"/>
      <c r="G39" s="10"/>
      <c r="H39" s="9"/>
      <c r="I39" s="4"/>
      <c r="J39" s="4"/>
      <c r="K39" s="4"/>
      <c r="L39" s="4"/>
      <c r="M39" s="4"/>
      <c r="N39" s="4"/>
      <c r="O39" s="4"/>
      <c r="P39" s="4"/>
    </row>
    <row r="40" spans="1:16" ht="19" x14ac:dyDescent="0.25">
      <c r="B40" s="8" t="s">
        <v>58</v>
      </c>
      <c r="C40" s="7" t="s">
        <v>59</v>
      </c>
    </row>
    <row r="41" spans="1:16" ht="19" x14ac:dyDescent="0.25">
      <c r="B41" s="8" t="s">
        <v>60</v>
      </c>
      <c r="C41" s="7" t="s">
        <v>61</v>
      </c>
    </row>
    <row r="42" spans="1:16" ht="19" x14ac:dyDescent="0.25">
      <c r="B42" s="6"/>
      <c r="C42" s="6"/>
    </row>
    <row r="43" spans="1:16" hidden="1" x14ac:dyDescent="0.2">
      <c r="A43" s="4"/>
      <c r="B43" s="4" t="s">
        <v>62</v>
      </c>
      <c r="C43" s="5" t="s">
        <v>32</v>
      </c>
      <c r="D43" s="4"/>
      <c r="E43" s="3">
        <v>0</v>
      </c>
      <c r="F43" s="3">
        <v>0</v>
      </c>
      <c r="G43" s="3">
        <v>3033.3637600000002</v>
      </c>
      <c r="H43" s="2">
        <v>3430.7069699999997</v>
      </c>
      <c r="I43" s="1">
        <v>3269.7653299999997</v>
      </c>
      <c r="J43" s="1">
        <v>3269.9513299999985</v>
      </c>
      <c r="K43" s="1">
        <v>3335.3503565999995</v>
      </c>
      <c r="L43" s="1">
        <v>3402.0573637320008</v>
      </c>
      <c r="M43" s="1">
        <v>3470.0985110066408</v>
      </c>
      <c r="N43" s="1">
        <v>3539.5004812267744</v>
      </c>
      <c r="O43" s="1">
        <v>3610.2904908513078</v>
      </c>
      <c r="P43" s="1">
        <v>3682.4963006683342</v>
      </c>
    </row>
  </sheetData>
  <mergeCells count="2">
    <mergeCell ref="G3:H3"/>
    <mergeCell ref="I3:P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4BD8-B0EE-41F2-B806-258D13CF38A5}">
  <sheetPr>
    <tabColor theme="5" tint="0.39997558519241921"/>
  </sheetPr>
  <dimension ref="A1:AG43"/>
  <sheetViews>
    <sheetView showGridLines="0" topLeftCell="A37" workbookViewId="0">
      <selection activeCell="H53" sqref="H53"/>
    </sheetView>
  </sheetViews>
  <sheetFormatPr baseColWidth="10" defaultColWidth="8.83203125" defaultRowHeight="15" x14ac:dyDescent="0.2"/>
  <cols>
    <col min="1" max="1" width="2.83203125" customWidth="1"/>
    <col min="2" max="2" width="29.6640625" bestFit="1" customWidth="1"/>
    <col min="3" max="3" width="31.5" bestFit="1" customWidth="1"/>
    <col min="5" max="6" width="0" hidden="1" customWidth="1"/>
    <col min="19" max="19" width="23.1640625" customWidth="1"/>
  </cols>
  <sheetData>
    <row r="1" spans="1:31" x14ac:dyDescent="0.2">
      <c r="A1" s="58"/>
      <c r="B1" s="64" t="s">
        <v>21</v>
      </c>
      <c r="C1" s="63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R1" s="58"/>
      <c r="S1" s="64" t="s">
        <v>21</v>
      </c>
      <c r="T1" s="63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1:31" ht="16" thickBot="1" x14ac:dyDescent="0.25">
      <c r="A2" s="58"/>
      <c r="B2" s="62" t="s">
        <v>209</v>
      </c>
      <c r="C2" s="59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R2" s="58"/>
      <c r="S2" s="62">
        <v>0</v>
      </c>
      <c r="T2" s="59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31" ht="16" thickBot="1" x14ac:dyDescent="0.25">
      <c r="A3" s="58"/>
      <c r="B3" s="61"/>
      <c r="C3" s="59"/>
      <c r="D3" s="58"/>
      <c r="E3" s="60"/>
      <c r="F3" s="60"/>
      <c r="G3" s="390" t="s">
        <v>22</v>
      </c>
      <c r="H3" s="391"/>
      <c r="I3" s="390" t="s">
        <v>23</v>
      </c>
      <c r="J3" s="392"/>
      <c r="K3" s="392"/>
      <c r="L3" s="392"/>
      <c r="M3" s="392"/>
      <c r="N3" s="392"/>
      <c r="O3" s="392"/>
      <c r="P3" s="391"/>
      <c r="R3" s="58"/>
      <c r="S3" s="61"/>
      <c r="T3" s="59"/>
      <c r="U3" s="58"/>
      <c r="V3" s="390" t="s">
        <v>22</v>
      </c>
      <c r="W3" s="391"/>
      <c r="X3" s="390" t="s">
        <v>23</v>
      </c>
      <c r="Y3" s="392"/>
      <c r="Z3" s="392"/>
      <c r="AA3" s="392"/>
      <c r="AB3" s="392"/>
      <c r="AC3" s="392"/>
      <c r="AD3" s="392"/>
      <c r="AE3" s="391"/>
    </row>
    <row r="4" spans="1:31" x14ac:dyDescent="0.2">
      <c r="A4" s="58"/>
      <c r="B4" s="57" t="s">
        <v>24</v>
      </c>
      <c r="C4" s="59"/>
      <c r="D4" s="58"/>
      <c r="E4" s="54">
        <v>43101</v>
      </c>
      <c r="F4" s="54">
        <v>42736</v>
      </c>
      <c r="G4" s="54">
        <v>44197</v>
      </c>
      <c r="H4" s="54">
        <v>44562</v>
      </c>
      <c r="I4" s="54">
        <v>44927</v>
      </c>
      <c r="J4" s="54">
        <v>45292</v>
      </c>
      <c r="K4" s="54">
        <v>45658</v>
      </c>
      <c r="L4" s="54">
        <v>46023</v>
      </c>
      <c r="M4" s="54">
        <v>46388</v>
      </c>
      <c r="N4" s="54">
        <v>46753</v>
      </c>
      <c r="O4" s="54">
        <v>47119</v>
      </c>
      <c r="P4" s="54">
        <v>47484</v>
      </c>
      <c r="R4" s="58"/>
      <c r="S4" s="57" t="s">
        <v>24</v>
      </c>
      <c r="T4" s="59"/>
      <c r="U4" s="58"/>
      <c r="V4" s="54">
        <v>44197</v>
      </c>
      <c r="W4" s="54">
        <v>44562</v>
      </c>
      <c r="X4" s="54">
        <v>44927</v>
      </c>
      <c r="Y4" s="54">
        <v>45292</v>
      </c>
      <c r="Z4" s="54">
        <v>45658</v>
      </c>
      <c r="AA4" s="54">
        <v>46023</v>
      </c>
      <c r="AB4" s="54">
        <v>46388</v>
      </c>
      <c r="AC4" s="54">
        <v>46753</v>
      </c>
      <c r="AD4" s="54">
        <v>47119</v>
      </c>
      <c r="AE4" s="54">
        <v>47484</v>
      </c>
    </row>
    <row r="5" spans="1:31" x14ac:dyDescent="0.2">
      <c r="A5" s="58"/>
      <c r="B5" s="57" t="s">
        <v>25</v>
      </c>
      <c r="C5" s="56" t="s">
        <v>26</v>
      </c>
      <c r="D5" s="55"/>
      <c r="E5" s="54">
        <v>42735</v>
      </c>
      <c r="F5" s="54">
        <v>43100</v>
      </c>
      <c r="G5" s="54">
        <v>44561</v>
      </c>
      <c r="H5" s="54">
        <v>44926</v>
      </c>
      <c r="I5" s="54">
        <v>45291</v>
      </c>
      <c r="J5" s="54">
        <v>45657</v>
      </c>
      <c r="K5" s="54">
        <v>46022</v>
      </c>
      <c r="L5" s="54">
        <v>46387</v>
      </c>
      <c r="M5" s="54">
        <v>46752</v>
      </c>
      <c r="N5" s="54">
        <v>47118</v>
      </c>
      <c r="O5" s="54">
        <v>47483</v>
      </c>
      <c r="P5" s="54">
        <v>47848</v>
      </c>
      <c r="R5" s="58"/>
      <c r="S5" s="57" t="s">
        <v>25</v>
      </c>
      <c r="T5" s="56" t="s">
        <v>26</v>
      </c>
      <c r="U5" s="55"/>
      <c r="V5" s="54">
        <v>44561</v>
      </c>
      <c r="W5" s="54">
        <v>44926</v>
      </c>
      <c r="X5" s="54">
        <v>45291</v>
      </c>
      <c r="Y5" s="54">
        <v>45657</v>
      </c>
      <c r="Z5" s="54">
        <v>46022</v>
      </c>
      <c r="AA5" s="54">
        <v>46387</v>
      </c>
      <c r="AB5" s="54">
        <v>46752</v>
      </c>
      <c r="AC5" s="54">
        <v>47118</v>
      </c>
      <c r="AD5" s="54">
        <v>47483</v>
      </c>
      <c r="AE5" s="54">
        <v>47848</v>
      </c>
    </row>
    <row r="6" spans="1:31" x14ac:dyDescent="0.2">
      <c r="A6" s="4"/>
      <c r="B6" s="4" t="s">
        <v>27</v>
      </c>
      <c r="C6" s="5"/>
      <c r="D6" s="4"/>
      <c r="E6" s="53">
        <f t="shared" ref="E6:P6" si="0">YEAR(E5)</f>
        <v>2016</v>
      </c>
      <c r="F6" s="53">
        <f t="shared" si="0"/>
        <v>2017</v>
      </c>
      <c r="G6" s="52">
        <f t="shared" si="0"/>
        <v>2021</v>
      </c>
      <c r="H6" s="52">
        <f t="shared" si="0"/>
        <v>2022</v>
      </c>
      <c r="I6" s="52">
        <f t="shared" si="0"/>
        <v>2023</v>
      </c>
      <c r="J6" s="52">
        <f t="shared" si="0"/>
        <v>2024</v>
      </c>
      <c r="K6" s="52">
        <f t="shared" si="0"/>
        <v>2025</v>
      </c>
      <c r="L6" s="52">
        <f t="shared" si="0"/>
        <v>2026</v>
      </c>
      <c r="M6" s="52">
        <f t="shared" si="0"/>
        <v>2027</v>
      </c>
      <c r="N6" s="52">
        <f t="shared" si="0"/>
        <v>2028</v>
      </c>
      <c r="O6" s="52">
        <f t="shared" si="0"/>
        <v>2029</v>
      </c>
      <c r="P6" s="52">
        <f t="shared" si="0"/>
        <v>2030</v>
      </c>
      <c r="R6" s="4"/>
      <c r="S6" s="4" t="s">
        <v>27</v>
      </c>
      <c r="T6" s="5"/>
      <c r="U6" s="4"/>
      <c r="V6" s="52">
        <f t="shared" ref="V6:AE6" si="1">YEAR(V5)</f>
        <v>2021</v>
      </c>
      <c r="W6" s="52">
        <f t="shared" si="1"/>
        <v>2022</v>
      </c>
      <c r="X6" s="52">
        <f t="shared" si="1"/>
        <v>2023</v>
      </c>
      <c r="Y6" s="52">
        <f t="shared" si="1"/>
        <v>2024</v>
      </c>
      <c r="Z6" s="52">
        <f t="shared" si="1"/>
        <v>2025</v>
      </c>
      <c r="AA6" s="52">
        <f t="shared" si="1"/>
        <v>2026</v>
      </c>
      <c r="AB6" s="52">
        <f t="shared" si="1"/>
        <v>2027</v>
      </c>
      <c r="AC6" s="52">
        <f t="shared" si="1"/>
        <v>2028</v>
      </c>
      <c r="AD6" s="52">
        <f t="shared" si="1"/>
        <v>2029</v>
      </c>
      <c r="AE6" s="52">
        <f t="shared" si="1"/>
        <v>2030</v>
      </c>
    </row>
    <row r="7" spans="1:31" x14ac:dyDescent="0.2">
      <c r="A7" s="4"/>
      <c r="B7" s="4" t="s">
        <v>28</v>
      </c>
      <c r="C7" s="5"/>
      <c r="D7" s="4"/>
      <c r="E7" s="51">
        <f t="shared" ref="E7:P7" si="2">+E5-E4+1</f>
        <v>-365</v>
      </c>
      <c r="F7" s="51">
        <f t="shared" si="2"/>
        <v>365</v>
      </c>
      <c r="G7" s="51">
        <f t="shared" si="2"/>
        <v>365</v>
      </c>
      <c r="H7" s="51">
        <f t="shared" si="2"/>
        <v>365</v>
      </c>
      <c r="I7" s="51">
        <f t="shared" si="2"/>
        <v>365</v>
      </c>
      <c r="J7" s="51">
        <f t="shared" si="2"/>
        <v>366</v>
      </c>
      <c r="K7" s="51">
        <f t="shared" si="2"/>
        <v>365</v>
      </c>
      <c r="L7" s="51">
        <f t="shared" si="2"/>
        <v>365</v>
      </c>
      <c r="M7" s="51">
        <f t="shared" si="2"/>
        <v>365</v>
      </c>
      <c r="N7" s="51">
        <f t="shared" si="2"/>
        <v>366</v>
      </c>
      <c r="O7" s="51">
        <f t="shared" si="2"/>
        <v>365</v>
      </c>
      <c r="P7" s="51">
        <f t="shared" si="2"/>
        <v>365</v>
      </c>
      <c r="R7" s="4"/>
      <c r="S7" s="4" t="s">
        <v>28</v>
      </c>
      <c r="T7" s="5"/>
      <c r="U7" s="4"/>
      <c r="V7" s="51">
        <f t="shared" ref="V7:AE7" si="3">+V5-V4+1</f>
        <v>365</v>
      </c>
      <c r="W7" s="51">
        <f t="shared" si="3"/>
        <v>365</v>
      </c>
      <c r="X7" s="51">
        <f t="shared" si="3"/>
        <v>365</v>
      </c>
      <c r="Y7" s="51">
        <f t="shared" si="3"/>
        <v>366</v>
      </c>
      <c r="Z7" s="51">
        <f t="shared" si="3"/>
        <v>365</v>
      </c>
      <c r="AA7" s="51">
        <f t="shared" si="3"/>
        <v>365</v>
      </c>
      <c r="AB7" s="51">
        <f t="shared" si="3"/>
        <v>365</v>
      </c>
      <c r="AC7" s="51">
        <f t="shared" si="3"/>
        <v>366</v>
      </c>
      <c r="AD7" s="51">
        <f t="shared" si="3"/>
        <v>365</v>
      </c>
      <c r="AE7" s="51">
        <f t="shared" si="3"/>
        <v>365</v>
      </c>
    </row>
    <row r="8" spans="1:31" x14ac:dyDescent="0.2">
      <c r="A8" s="4"/>
      <c r="B8" s="4" t="s">
        <v>29</v>
      </c>
      <c r="C8" s="5"/>
      <c r="D8" s="4"/>
      <c r="E8" s="51">
        <f t="shared" ref="E8:P8" si="4">+E7</f>
        <v>-365</v>
      </c>
      <c r="F8" s="51">
        <f t="shared" si="4"/>
        <v>365</v>
      </c>
      <c r="G8" s="51">
        <f t="shared" si="4"/>
        <v>365</v>
      </c>
      <c r="H8" s="51">
        <f t="shared" si="4"/>
        <v>365</v>
      </c>
      <c r="I8" s="51">
        <f t="shared" si="4"/>
        <v>365</v>
      </c>
      <c r="J8" s="51">
        <f t="shared" si="4"/>
        <v>366</v>
      </c>
      <c r="K8" s="51">
        <f t="shared" si="4"/>
        <v>365</v>
      </c>
      <c r="L8" s="51">
        <f t="shared" si="4"/>
        <v>365</v>
      </c>
      <c r="M8" s="51">
        <f t="shared" si="4"/>
        <v>365</v>
      </c>
      <c r="N8" s="51">
        <f t="shared" si="4"/>
        <v>366</v>
      </c>
      <c r="O8" s="51">
        <f t="shared" si="4"/>
        <v>365</v>
      </c>
      <c r="P8" s="51">
        <f t="shared" si="4"/>
        <v>365</v>
      </c>
      <c r="R8" s="4"/>
      <c r="S8" s="4" t="s">
        <v>29</v>
      </c>
      <c r="T8" s="5"/>
      <c r="U8" s="4"/>
      <c r="V8" s="51">
        <f t="shared" ref="V8:AE8" si="5">+V7</f>
        <v>365</v>
      </c>
      <c r="W8" s="51">
        <f t="shared" si="5"/>
        <v>365</v>
      </c>
      <c r="X8" s="51">
        <f t="shared" si="5"/>
        <v>365</v>
      </c>
      <c r="Y8" s="51">
        <f t="shared" si="5"/>
        <v>366</v>
      </c>
      <c r="Z8" s="51">
        <f t="shared" si="5"/>
        <v>365</v>
      </c>
      <c r="AA8" s="51">
        <f t="shared" si="5"/>
        <v>365</v>
      </c>
      <c r="AB8" s="51">
        <f t="shared" si="5"/>
        <v>365</v>
      </c>
      <c r="AC8" s="51">
        <f t="shared" si="5"/>
        <v>366</v>
      </c>
      <c r="AD8" s="51">
        <f t="shared" si="5"/>
        <v>365</v>
      </c>
      <c r="AE8" s="51">
        <f t="shared" si="5"/>
        <v>365</v>
      </c>
    </row>
    <row r="9" spans="1:31" x14ac:dyDescent="0.2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4"/>
      <c r="S9" s="4"/>
      <c r="T9" s="5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">
      <c r="A10" s="50" t="s">
        <v>30</v>
      </c>
      <c r="B10" s="50"/>
      <c r="C10" s="4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R10" s="50" t="s">
        <v>30</v>
      </c>
      <c r="S10" s="50"/>
      <c r="T10" s="49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 spans="1:31" x14ac:dyDescent="0.2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R11" s="4"/>
      <c r="S11" s="4"/>
      <c r="T11" s="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2"/>
      <c r="B12" s="22" t="s">
        <v>31</v>
      </c>
      <c r="C12" s="23" t="s">
        <v>32</v>
      </c>
      <c r="D12" s="22"/>
      <c r="E12" s="47">
        <v>0</v>
      </c>
      <c r="F12" s="47">
        <v>0</v>
      </c>
      <c r="G12" s="47">
        <v>13563.457150000002</v>
      </c>
      <c r="H12" s="46">
        <v>15755.558590000001</v>
      </c>
      <c r="I12" s="45">
        <v>16380.097229999998</v>
      </c>
      <c r="J12" s="45">
        <v>17191.966910000003</v>
      </c>
      <c r="K12" s="45">
        <v>18351.806248199999</v>
      </c>
      <c r="L12" s="45">
        <v>18718.842373164</v>
      </c>
      <c r="M12" s="45">
        <v>19093.219220627281</v>
      </c>
      <c r="N12" s="45">
        <v>19475.083605039825</v>
      </c>
      <c r="O12" s="45">
        <v>19864.585277140621</v>
      </c>
      <c r="P12" s="45">
        <v>20261.876982683436</v>
      </c>
      <c r="R12" s="22"/>
      <c r="S12" s="22" t="s">
        <v>31</v>
      </c>
      <c r="T12" s="23" t="s">
        <v>32</v>
      </c>
      <c r="U12" s="22"/>
      <c r="V12" s="47">
        <v>13563.457150000002</v>
      </c>
      <c r="W12" s="46">
        <v>15755.558590000001</v>
      </c>
      <c r="X12" s="45">
        <v>16380.097229999998</v>
      </c>
      <c r="Y12" s="45">
        <v>17191.966910000003</v>
      </c>
      <c r="Z12" s="45">
        <v>18351.806248199999</v>
      </c>
      <c r="AA12" s="45">
        <v>18718.842373164</v>
      </c>
      <c r="AB12" s="45">
        <v>19093.219220627281</v>
      </c>
      <c r="AC12" s="45">
        <v>19475.083605039825</v>
      </c>
      <c r="AD12" s="45">
        <v>19864.585277140621</v>
      </c>
      <c r="AE12" s="45">
        <v>20261.876982683436</v>
      </c>
    </row>
    <row r="13" spans="1:31" x14ac:dyDescent="0.2">
      <c r="A13" s="19"/>
      <c r="B13" s="44" t="s">
        <v>33</v>
      </c>
      <c r="C13" s="43" t="s">
        <v>34</v>
      </c>
      <c r="D13" s="19"/>
      <c r="E13" s="42"/>
      <c r="F13" s="42"/>
      <c r="G13" s="42"/>
      <c r="H13" s="41">
        <f t="shared" ref="H13:P13" si="6">H12/G12-1</f>
        <v>0.16161819333797189</v>
      </c>
      <c r="I13" s="16">
        <f t="shared" si="6"/>
        <v>3.9639257245781767E-2</v>
      </c>
      <c r="J13" s="16">
        <f t="shared" si="6"/>
        <v>4.9564399319502961E-2</v>
      </c>
      <c r="K13" s="16">
        <f t="shared" si="6"/>
        <v>6.746402807030516E-2</v>
      </c>
      <c r="L13" s="16">
        <f t="shared" si="6"/>
        <v>2.0000000000000018E-2</v>
      </c>
      <c r="M13" s="16">
        <f t="shared" si="6"/>
        <v>2.0000000000000018E-2</v>
      </c>
      <c r="N13" s="16">
        <f t="shared" si="6"/>
        <v>1.9999999999999796E-2</v>
      </c>
      <c r="O13" s="16">
        <f t="shared" si="6"/>
        <v>2.0000000000000018E-2</v>
      </c>
      <c r="P13" s="16">
        <f t="shared" si="6"/>
        <v>2.000000000000024E-2</v>
      </c>
      <c r="R13" s="19"/>
      <c r="S13" s="44" t="s">
        <v>33</v>
      </c>
      <c r="T13" s="43" t="s">
        <v>34</v>
      </c>
      <c r="U13" s="19"/>
      <c r="V13" s="42"/>
      <c r="W13" s="41">
        <f t="shared" ref="W13:AE13" si="7">W12/V12-1</f>
        <v>0.16161819333797189</v>
      </c>
      <c r="X13" s="16">
        <f t="shared" si="7"/>
        <v>3.9639257245781767E-2</v>
      </c>
      <c r="Y13" s="16">
        <f t="shared" si="7"/>
        <v>4.9564399319502961E-2</v>
      </c>
      <c r="Z13" s="16">
        <f t="shared" si="7"/>
        <v>6.746402807030516E-2</v>
      </c>
      <c r="AA13" s="16">
        <f t="shared" si="7"/>
        <v>2.0000000000000018E-2</v>
      </c>
      <c r="AB13" s="16">
        <f t="shared" si="7"/>
        <v>2.0000000000000018E-2</v>
      </c>
      <c r="AC13" s="16">
        <f t="shared" si="7"/>
        <v>1.9999999999999796E-2</v>
      </c>
      <c r="AD13" s="16">
        <f t="shared" si="7"/>
        <v>2.0000000000000018E-2</v>
      </c>
      <c r="AE13" s="16">
        <f t="shared" si="7"/>
        <v>2.000000000000024E-2</v>
      </c>
    </row>
    <row r="14" spans="1:31" x14ac:dyDescent="0.2">
      <c r="A14" s="4"/>
      <c r="B14" s="4"/>
      <c r="C14" s="5"/>
      <c r="D14" s="4"/>
      <c r="E14" s="40"/>
      <c r="F14" s="40"/>
      <c r="G14" s="40"/>
      <c r="H14" s="39"/>
      <c r="I14" s="1"/>
      <c r="J14" s="1"/>
      <c r="K14" s="1"/>
      <c r="L14" s="1"/>
      <c r="M14" s="1"/>
      <c r="N14" s="1"/>
      <c r="O14" s="1"/>
      <c r="P14" s="1"/>
      <c r="R14" s="4"/>
      <c r="S14" s="4"/>
      <c r="T14" s="5"/>
      <c r="U14" s="4"/>
      <c r="V14" s="40"/>
      <c r="W14" s="39"/>
      <c r="X14" s="1"/>
      <c r="Y14" s="1"/>
      <c r="Z14" s="1"/>
      <c r="AA14" s="1"/>
      <c r="AB14" s="1"/>
      <c r="AC14" s="1"/>
      <c r="AD14" s="1"/>
      <c r="AE14" s="1"/>
    </row>
    <row r="15" spans="1:31" x14ac:dyDescent="0.2">
      <c r="A15" s="4"/>
      <c r="B15" s="22" t="s">
        <v>35</v>
      </c>
      <c r="C15" s="5"/>
      <c r="D15" s="4"/>
      <c r="E15" s="40"/>
      <c r="F15" s="40"/>
      <c r="G15" s="40"/>
      <c r="H15" s="39"/>
      <c r="I15" s="38"/>
      <c r="J15" s="1"/>
      <c r="K15" s="1"/>
      <c r="L15" s="1"/>
      <c r="M15" s="1"/>
      <c r="N15" s="1"/>
      <c r="O15" s="1"/>
      <c r="P15" s="1"/>
      <c r="R15" s="4"/>
      <c r="S15" s="22" t="s">
        <v>35</v>
      </c>
      <c r="T15" s="5"/>
      <c r="U15" s="4"/>
      <c r="V15" s="40"/>
      <c r="W15" s="39"/>
      <c r="X15" s="38"/>
      <c r="Y15" s="1"/>
      <c r="Z15" s="1"/>
      <c r="AA15" s="1"/>
      <c r="AB15" s="1"/>
      <c r="AC15" s="1"/>
      <c r="AD15" s="1"/>
      <c r="AE15" s="1"/>
    </row>
    <row r="16" spans="1:31" x14ac:dyDescent="0.2">
      <c r="A16" s="4"/>
      <c r="B16" s="4" t="s">
        <v>36</v>
      </c>
      <c r="C16" s="5" t="s">
        <v>32</v>
      </c>
      <c r="D16" s="4"/>
      <c r="E16" s="3">
        <v>0</v>
      </c>
      <c r="F16" s="3">
        <v>0</v>
      </c>
      <c r="G16" s="3">
        <v>4886.8441399999992</v>
      </c>
      <c r="H16" s="2">
        <v>5278.8393300000007</v>
      </c>
      <c r="I16" s="1">
        <v>5386.6709599999995</v>
      </c>
      <c r="J16" s="1">
        <v>5052.2209631999986</v>
      </c>
      <c r="K16" s="1">
        <v>5153.2653824640001</v>
      </c>
      <c r="L16" s="1">
        <v>5256.330690113281</v>
      </c>
      <c r="M16" s="1">
        <v>5361.4573039155466</v>
      </c>
      <c r="N16" s="1">
        <v>5468.6864499938574</v>
      </c>
      <c r="O16" s="1">
        <v>5578.0601789937318</v>
      </c>
      <c r="P16" s="1">
        <v>5689.6213825736086</v>
      </c>
      <c r="R16" s="4"/>
      <c r="S16" s="4" t="s">
        <v>36</v>
      </c>
      <c r="T16" s="5" t="s">
        <v>32</v>
      </c>
      <c r="U16" s="4"/>
      <c r="V16" s="3">
        <v>4886.8441399999992</v>
      </c>
      <c r="W16" s="2">
        <v>5278.8393300000007</v>
      </c>
      <c r="X16" s="1">
        <v>5386.6709599999995</v>
      </c>
      <c r="Y16" s="1">
        <v>5052.2209631999986</v>
      </c>
      <c r="Z16" s="1">
        <v>5153.2653824640001</v>
      </c>
      <c r="AA16" s="1">
        <v>5256.330690113281</v>
      </c>
      <c r="AB16" s="1">
        <v>5361.4573039155466</v>
      </c>
      <c r="AC16" s="1">
        <v>5468.6864499938574</v>
      </c>
      <c r="AD16" s="1">
        <v>5578.0601789937318</v>
      </c>
      <c r="AE16" s="1">
        <v>5689.6213825736086</v>
      </c>
    </row>
    <row r="17" spans="1:33" x14ac:dyDescent="0.2">
      <c r="A17" s="4"/>
      <c r="B17" s="4" t="s">
        <v>37</v>
      </c>
      <c r="C17" s="5" t="s">
        <v>32</v>
      </c>
      <c r="D17" s="4"/>
      <c r="E17" s="3">
        <v>0</v>
      </c>
      <c r="F17" s="3">
        <v>0</v>
      </c>
      <c r="G17" s="3">
        <v>1877.89807</v>
      </c>
      <c r="H17" s="2">
        <v>2622.0151499999997</v>
      </c>
      <c r="I17" s="1">
        <v>2916.1929700000005</v>
      </c>
      <c r="J17" s="1">
        <v>2916.1929700000005</v>
      </c>
      <c r="K17" s="1">
        <v>2974.5168294000009</v>
      </c>
      <c r="L17" s="1">
        <v>3034.007165988</v>
      </c>
      <c r="M17" s="1">
        <v>3094.6873093077611</v>
      </c>
      <c r="N17" s="1">
        <v>3156.5810554939158</v>
      </c>
      <c r="O17" s="1">
        <v>3219.7126766037941</v>
      </c>
      <c r="P17" s="1">
        <v>3284.1069301358698</v>
      </c>
      <c r="R17" s="4"/>
      <c r="S17" s="4" t="s">
        <v>37</v>
      </c>
      <c r="T17" s="5" t="s">
        <v>32</v>
      </c>
      <c r="U17" s="4"/>
      <c r="V17" s="3">
        <v>1877.89807</v>
      </c>
      <c r="W17" s="2">
        <v>2622.0151499999997</v>
      </c>
      <c r="X17" s="1">
        <v>2916.1929700000005</v>
      </c>
      <c r="Y17" s="1">
        <v>2916.1929700000005</v>
      </c>
      <c r="Z17" s="1">
        <v>2974.5168294000009</v>
      </c>
      <c r="AA17" s="1">
        <v>3034.007165988</v>
      </c>
      <c r="AB17" s="1">
        <v>3094.6873093077611</v>
      </c>
      <c r="AC17" s="1">
        <v>3156.5810554939158</v>
      </c>
      <c r="AD17" s="1">
        <v>3219.7126766037941</v>
      </c>
      <c r="AE17" s="1">
        <v>3284.1069301358698</v>
      </c>
    </row>
    <row r="18" spans="1:33" x14ac:dyDescent="0.2">
      <c r="A18" s="22"/>
      <c r="B18" s="30" t="s">
        <v>38</v>
      </c>
      <c r="C18" s="37"/>
      <c r="D18" s="30"/>
      <c r="E18" s="27">
        <f>+SUM(E16:E17)</f>
        <v>0</v>
      </c>
      <c r="F18" s="27">
        <f>+SUM(F16:F17)</f>
        <v>0</v>
      </c>
      <c r="G18" s="27">
        <f t="shared" ref="G18:P18" si="8">SUM(G16:G17)</f>
        <v>6764.7422099999994</v>
      </c>
      <c r="H18" s="26">
        <f t="shared" si="8"/>
        <v>7900.85448</v>
      </c>
      <c r="I18" s="36">
        <f t="shared" si="8"/>
        <v>8302.8639299999995</v>
      </c>
      <c r="J18" s="36">
        <f t="shared" si="8"/>
        <v>7968.4139331999995</v>
      </c>
      <c r="K18" s="36">
        <f t="shared" si="8"/>
        <v>8127.7822118640015</v>
      </c>
      <c r="L18" s="36">
        <f t="shared" si="8"/>
        <v>8290.3378561012814</v>
      </c>
      <c r="M18" s="36">
        <f t="shared" si="8"/>
        <v>8456.1446132233068</v>
      </c>
      <c r="N18" s="36">
        <f t="shared" si="8"/>
        <v>8625.2675054877727</v>
      </c>
      <c r="O18" s="36">
        <f t="shared" si="8"/>
        <v>8797.7728555975264</v>
      </c>
      <c r="P18" s="36">
        <f t="shared" si="8"/>
        <v>8973.7283127094779</v>
      </c>
      <c r="R18" s="22"/>
      <c r="S18" s="30" t="s">
        <v>38</v>
      </c>
      <c r="T18" s="37"/>
      <c r="U18" s="30"/>
      <c r="V18" s="27">
        <f t="shared" ref="V18:AE18" si="9">SUM(V16:V17)</f>
        <v>6764.7422099999994</v>
      </c>
      <c r="W18" s="26">
        <f t="shared" si="9"/>
        <v>7900.85448</v>
      </c>
      <c r="X18" s="36">
        <f t="shared" si="9"/>
        <v>8302.8639299999995</v>
      </c>
      <c r="Y18" s="36">
        <f t="shared" si="9"/>
        <v>7968.4139331999995</v>
      </c>
      <c r="Z18" s="36">
        <f t="shared" si="9"/>
        <v>8127.7822118640015</v>
      </c>
      <c r="AA18" s="36">
        <f t="shared" si="9"/>
        <v>8290.3378561012814</v>
      </c>
      <c r="AB18" s="36">
        <f t="shared" si="9"/>
        <v>8456.1446132233068</v>
      </c>
      <c r="AC18" s="36">
        <f t="shared" si="9"/>
        <v>8625.2675054877727</v>
      </c>
      <c r="AD18" s="36">
        <f t="shared" si="9"/>
        <v>8797.7728555975264</v>
      </c>
      <c r="AE18" s="36">
        <f t="shared" si="9"/>
        <v>8973.7283127094779</v>
      </c>
    </row>
    <row r="19" spans="1:33" x14ac:dyDescent="0.2">
      <c r="A19" s="4"/>
      <c r="B19" s="4"/>
      <c r="C19" s="5"/>
      <c r="D19" s="4"/>
      <c r="E19" s="15"/>
      <c r="F19" s="15"/>
      <c r="G19" s="15"/>
      <c r="H19" s="25"/>
      <c r="I19" s="1"/>
      <c r="J19" s="1"/>
      <c r="K19" s="1"/>
      <c r="L19" s="1"/>
      <c r="M19" s="1"/>
      <c r="N19" s="1"/>
      <c r="O19" s="1"/>
      <c r="P19" s="1"/>
      <c r="R19" s="4"/>
      <c r="S19" s="4"/>
      <c r="T19" s="5"/>
      <c r="U19" s="4"/>
      <c r="V19" s="15"/>
      <c r="W19" s="25"/>
      <c r="X19" s="1"/>
      <c r="Y19" s="1"/>
      <c r="Z19" s="1"/>
      <c r="AA19" s="1"/>
      <c r="AB19" s="1"/>
      <c r="AC19" s="1"/>
      <c r="AD19" s="1"/>
      <c r="AE19" s="1"/>
    </row>
    <row r="20" spans="1:33" x14ac:dyDescent="0.2">
      <c r="A20" s="34"/>
      <c r="B20" s="34" t="s">
        <v>39</v>
      </c>
      <c r="C20" s="35" t="s">
        <v>32</v>
      </c>
      <c r="D20" s="34"/>
      <c r="E20" s="33">
        <f>+E12-E18</f>
        <v>0</v>
      </c>
      <c r="F20" s="33">
        <f>+F12-F18</f>
        <v>0</v>
      </c>
      <c r="G20" s="33">
        <f t="shared" ref="G20:P20" si="10">G12-G18</f>
        <v>6798.7149400000026</v>
      </c>
      <c r="H20" s="32">
        <f t="shared" si="10"/>
        <v>7854.7041100000006</v>
      </c>
      <c r="I20" s="31">
        <f t="shared" si="10"/>
        <v>8077.2332999999981</v>
      </c>
      <c r="J20" s="31">
        <f t="shared" si="10"/>
        <v>9223.5529768000033</v>
      </c>
      <c r="K20" s="31">
        <f t="shared" si="10"/>
        <v>10224.024036335997</v>
      </c>
      <c r="L20" s="31">
        <f t="shared" si="10"/>
        <v>10428.504517062718</v>
      </c>
      <c r="M20" s="31">
        <f t="shared" si="10"/>
        <v>10637.074607403974</v>
      </c>
      <c r="N20" s="31">
        <f t="shared" si="10"/>
        <v>10849.816099552052</v>
      </c>
      <c r="O20" s="31">
        <f t="shared" si="10"/>
        <v>11066.812421543094</v>
      </c>
      <c r="P20" s="31">
        <f t="shared" si="10"/>
        <v>11288.148669973958</v>
      </c>
      <c r="R20" s="34"/>
      <c r="S20" s="34" t="s">
        <v>39</v>
      </c>
      <c r="T20" s="35" t="s">
        <v>32</v>
      </c>
      <c r="U20" s="34"/>
      <c r="V20" s="33">
        <f t="shared" ref="V20:AE20" si="11">V12-V18</f>
        <v>6798.7149400000026</v>
      </c>
      <c r="W20" s="32">
        <f t="shared" si="11"/>
        <v>7854.7041100000006</v>
      </c>
      <c r="X20" s="31">
        <f t="shared" si="11"/>
        <v>8077.2332999999981</v>
      </c>
      <c r="Y20" s="31">
        <f t="shared" si="11"/>
        <v>9223.5529768000033</v>
      </c>
      <c r="Z20" s="31">
        <f t="shared" si="11"/>
        <v>10224.024036335997</v>
      </c>
      <c r="AA20" s="31">
        <f t="shared" si="11"/>
        <v>10428.504517062718</v>
      </c>
      <c r="AB20" s="31">
        <f t="shared" si="11"/>
        <v>10637.074607403974</v>
      </c>
      <c r="AC20" s="31">
        <f t="shared" si="11"/>
        <v>10849.816099552052</v>
      </c>
      <c r="AD20" s="31">
        <f t="shared" si="11"/>
        <v>11066.812421543094</v>
      </c>
      <c r="AE20" s="31">
        <f t="shared" si="11"/>
        <v>11288.148669973958</v>
      </c>
    </row>
    <row r="21" spans="1:33" x14ac:dyDescent="0.2">
      <c r="A21" s="19"/>
      <c r="B21" s="19" t="s">
        <v>40</v>
      </c>
      <c r="C21" s="20" t="s">
        <v>34</v>
      </c>
      <c r="D21" s="19"/>
      <c r="E21" s="18" t="str">
        <f>+IFERROR(E20/E$12,"n.a.")</f>
        <v>n.a.</v>
      </c>
      <c r="F21" s="18" t="str">
        <f>+IFERROR(F20/F$12,"n.a.")</f>
        <v>n.a.</v>
      </c>
      <c r="G21" s="18">
        <f t="shared" ref="G21:P21" si="12">G20/G12</f>
        <v>0.50125236249225746</v>
      </c>
      <c r="H21" s="17">
        <f t="shared" si="12"/>
        <v>0.49853542577572302</v>
      </c>
      <c r="I21" s="16">
        <f t="shared" si="12"/>
        <v>0.49311265901441781</v>
      </c>
      <c r="J21" s="16">
        <f t="shared" si="12"/>
        <v>0.53650364877301882</v>
      </c>
      <c r="K21" s="16">
        <f t="shared" si="12"/>
        <v>0.55711268406284531</v>
      </c>
      <c r="L21" s="16">
        <f t="shared" si="12"/>
        <v>0.55711268406284542</v>
      </c>
      <c r="M21" s="16">
        <f t="shared" si="12"/>
        <v>0.55711268406284542</v>
      </c>
      <c r="N21" s="16">
        <f t="shared" si="12"/>
        <v>0.55711268406284542</v>
      </c>
      <c r="O21" s="16">
        <f t="shared" si="12"/>
        <v>0.55711268406284553</v>
      </c>
      <c r="P21" s="16">
        <f t="shared" si="12"/>
        <v>0.55711268406284553</v>
      </c>
      <c r="R21" s="19"/>
      <c r="S21" s="19" t="s">
        <v>40</v>
      </c>
      <c r="T21" s="20" t="s">
        <v>34</v>
      </c>
      <c r="U21" s="19"/>
      <c r="V21" s="18">
        <f t="shared" ref="V21:AE21" si="13">V20/V12</f>
        <v>0.50125236249225746</v>
      </c>
      <c r="W21" s="17">
        <f t="shared" si="13"/>
        <v>0.49853542577572302</v>
      </c>
      <c r="X21" s="16">
        <f t="shared" si="13"/>
        <v>0.49311265901441781</v>
      </c>
      <c r="Y21" s="16">
        <f t="shared" si="13"/>
        <v>0.53650364877301882</v>
      </c>
      <c r="Z21" s="16">
        <f t="shared" si="13"/>
        <v>0.55711268406284531</v>
      </c>
      <c r="AA21" s="16">
        <f t="shared" si="13"/>
        <v>0.55711268406284542</v>
      </c>
      <c r="AB21" s="16">
        <f t="shared" si="13"/>
        <v>0.55711268406284542</v>
      </c>
      <c r="AC21" s="16">
        <f t="shared" si="13"/>
        <v>0.55711268406284542</v>
      </c>
      <c r="AD21" s="16">
        <f t="shared" si="13"/>
        <v>0.55711268406284553</v>
      </c>
      <c r="AE21" s="16">
        <f t="shared" si="13"/>
        <v>0.55711268406284553</v>
      </c>
    </row>
    <row r="22" spans="1:33" x14ac:dyDescent="0.2">
      <c r="A22" s="4"/>
      <c r="B22" s="4"/>
      <c r="C22" s="5"/>
      <c r="D22" s="4"/>
      <c r="E22" s="15"/>
      <c r="F22" s="15"/>
      <c r="G22" s="15"/>
      <c r="H22" s="25"/>
      <c r="I22" s="4"/>
      <c r="J22" s="14"/>
      <c r="K22" s="14"/>
      <c r="L22" s="14"/>
      <c r="M22" s="14"/>
      <c r="N22" s="14"/>
      <c r="O22" s="4"/>
      <c r="P22" s="4"/>
      <c r="R22" s="4"/>
      <c r="S22" s="4"/>
      <c r="T22" s="5"/>
      <c r="U22" s="4"/>
      <c r="V22" s="15"/>
      <c r="W22" s="25"/>
      <c r="X22" s="4"/>
      <c r="Y22" s="14"/>
      <c r="Z22" s="14"/>
      <c r="AA22" s="14"/>
      <c r="AB22" s="14"/>
      <c r="AC22" s="14"/>
      <c r="AD22" s="4"/>
      <c r="AE22" s="4"/>
    </row>
    <row r="23" spans="1:33" x14ac:dyDescent="0.2">
      <c r="A23" s="4"/>
      <c r="B23" s="22" t="s">
        <v>41</v>
      </c>
      <c r="C23" s="5"/>
      <c r="D23" s="4"/>
      <c r="E23" s="15"/>
      <c r="F23" s="15"/>
      <c r="G23" s="15"/>
      <c r="H23" s="25"/>
      <c r="I23" s="4"/>
      <c r="J23" s="4"/>
      <c r="K23" s="4"/>
      <c r="L23" s="4"/>
      <c r="M23" s="4"/>
      <c r="N23" s="4"/>
      <c r="O23" s="4"/>
      <c r="P23" s="4"/>
      <c r="R23" s="4"/>
      <c r="S23" s="22" t="s">
        <v>41</v>
      </c>
      <c r="T23" s="5"/>
      <c r="U23" s="4"/>
      <c r="V23" s="15"/>
      <c r="W23" s="25"/>
      <c r="X23" s="4"/>
      <c r="Y23" s="4"/>
      <c r="Z23" s="4"/>
      <c r="AA23" s="4"/>
      <c r="AB23" s="4"/>
      <c r="AC23" s="4"/>
      <c r="AD23" s="4"/>
      <c r="AE23" s="4"/>
    </row>
    <row r="24" spans="1:33" x14ac:dyDescent="0.2">
      <c r="A24" s="4"/>
      <c r="B24" s="4" t="s">
        <v>42</v>
      </c>
      <c r="C24" s="5" t="s">
        <v>32</v>
      </c>
      <c r="D24" s="4"/>
      <c r="E24" s="3">
        <v>0</v>
      </c>
      <c r="F24" s="3">
        <v>0</v>
      </c>
      <c r="G24" s="3">
        <f>699+G$43</f>
        <v>3732.3637600000002</v>
      </c>
      <c r="H24" s="2">
        <f>794+H43</f>
        <v>4224.7069699999993</v>
      </c>
      <c r="I24" s="1">
        <f>787+I43</f>
        <v>4056.7653299999997</v>
      </c>
      <c r="J24" s="1">
        <f>931+J43</f>
        <v>4200.9513299999981</v>
      </c>
      <c r="K24" s="1">
        <f>944+K43</f>
        <v>4279.3503565999999</v>
      </c>
      <c r="L24" s="1">
        <f>959+L43</f>
        <v>4361.0573637320012</v>
      </c>
      <c r="M24" s="1">
        <f>973+M43</f>
        <v>4443.0985110066413</v>
      </c>
      <c r="N24" s="1">
        <f>988+N43</f>
        <v>4527.5004812267744</v>
      </c>
      <c r="O24" s="1">
        <f>1003+O43</f>
        <v>4613.2904908513083</v>
      </c>
      <c r="P24" s="1">
        <f>1018+P43</f>
        <v>4700.4963006683338</v>
      </c>
      <c r="R24" s="4"/>
      <c r="S24" s="4" t="s">
        <v>42</v>
      </c>
      <c r="T24" s="5" t="s">
        <v>32</v>
      </c>
      <c r="U24" s="4"/>
      <c r="V24" s="3">
        <v>3732.3637600000002</v>
      </c>
      <c r="W24" s="3">
        <v>4224.7069699999993</v>
      </c>
      <c r="X24" s="3">
        <v>4056.7653299999997</v>
      </c>
      <c r="Y24" s="3">
        <v>4200.9513299999981</v>
      </c>
      <c r="Z24" s="3">
        <v>4279.3503565999999</v>
      </c>
      <c r="AA24" s="3">
        <v>4361.0573637320012</v>
      </c>
      <c r="AB24" s="3">
        <v>4443.0985110066413</v>
      </c>
      <c r="AC24" s="3">
        <v>4527.5004812267744</v>
      </c>
      <c r="AD24" s="3">
        <v>4613.2904908513083</v>
      </c>
      <c r="AE24" s="3">
        <v>4700.4963006683338</v>
      </c>
    </row>
    <row r="25" spans="1:33" x14ac:dyDescent="0.2">
      <c r="A25" s="4"/>
      <c r="B25" s="4" t="s">
        <v>43</v>
      </c>
      <c r="C25" s="5" t="s">
        <v>32</v>
      </c>
      <c r="D25" s="4"/>
      <c r="E25" s="3">
        <v>0</v>
      </c>
      <c r="F25" s="3">
        <v>0</v>
      </c>
      <c r="G25" s="3">
        <v>233.78640999999999</v>
      </c>
      <c r="H25" s="2">
        <v>231.49663000000001</v>
      </c>
      <c r="I25" s="1">
        <v>273.11919999999998</v>
      </c>
      <c r="J25" s="1">
        <v>273.11919999999992</v>
      </c>
      <c r="K25" s="1">
        <v>277.21598800000004</v>
      </c>
      <c r="L25" s="1">
        <v>281.37422781999993</v>
      </c>
      <c r="M25" s="1">
        <v>285.59484123729987</v>
      </c>
      <c r="N25" s="1">
        <v>289.87876385585935</v>
      </c>
      <c r="O25" s="1">
        <v>294.22694531369723</v>
      </c>
      <c r="P25" s="1">
        <v>298.64034949340265</v>
      </c>
      <c r="Q25" s="118"/>
      <c r="R25" s="4"/>
      <c r="S25" s="4" t="s">
        <v>43</v>
      </c>
      <c r="T25" s="5" t="s">
        <v>32</v>
      </c>
      <c r="U25" s="4"/>
      <c r="V25" s="3">
        <v>233.78640999999999</v>
      </c>
      <c r="W25" s="2">
        <v>231.49663000000001</v>
      </c>
      <c r="X25" s="1">
        <v>273.11919999999998</v>
      </c>
      <c r="Y25" s="1">
        <v>273.11919999999992</v>
      </c>
      <c r="Z25" s="1">
        <v>277.21598800000004</v>
      </c>
      <c r="AA25" s="1">
        <v>281.37422781999993</v>
      </c>
      <c r="AB25" s="1">
        <v>285.59484123729987</v>
      </c>
      <c r="AC25" s="1">
        <v>289.87876385585935</v>
      </c>
      <c r="AD25" s="1">
        <v>294.22694531369723</v>
      </c>
      <c r="AE25" s="1">
        <v>298.64034949340265</v>
      </c>
    </row>
    <row r="26" spans="1:33" x14ac:dyDescent="0.2">
      <c r="A26" s="4"/>
      <c r="B26" s="4" t="s">
        <v>44</v>
      </c>
      <c r="C26" s="5" t="s">
        <v>32</v>
      </c>
      <c r="D26" s="4"/>
      <c r="E26" s="3">
        <v>0</v>
      </c>
      <c r="F26" s="3">
        <v>0</v>
      </c>
      <c r="G26" s="3">
        <v>139.57787000000002</v>
      </c>
      <c r="H26" s="2">
        <v>21.188420000000001</v>
      </c>
      <c r="I26" s="1">
        <v>110.17088</v>
      </c>
      <c r="J26" s="1">
        <v>110.17056000000001</v>
      </c>
      <c r="K26" s="1">
        <v>111.82311839999996</v>
      </c>
      <c r="L26" s="1">
        <v>113.50046517599998</v>
      </c>
      <c r="M26" s="1">
        <v>115.20297215364</v>
      </c>
      <c r="N26" s="1">
        <v>116.93101673594454</v>
      </c>
      <c r="O26" s="1">
        <v>118.6849819869837</v>
      </c>
      <c r="P26" s="1">
        <v>120.46525671678843</v>
      </c>
      <c r="R26" s="4"/>
      <c r="S26" s="4" t="s">
        <v>44</v>
      </c>
      <c r="T26" s="5" t="s">
        <v>32</v>
      </c>
      <c r="U26" s="4"/>
      <c r="V26" s="3">
        <v>139.57787000000002</v>
      </c>
      <c r="W26" s="2">
        <v>21.188420000000001</v>
      </c>
      <c r="X26" s="1">
        <v>110.17088</v>
      </c>
      <c r="Y26" s="1">
        <v>110.17056000000001</v>
      </c>
      <c r="Z26" s="1">
        <v>111.82311839999996</v>
      </c>
      <c r="AA26" s="1">
        <v>113.50046517599998</v>
      </c>
      <c r="AB26" s="1">
        <v>115.20297215364</v>
      </c>
      <c r="AC26" s="1">
        <v>116.93101673594454</v>
      </c>
      <c r="AD26" s="1">
        <v>118.6849819869837</v>
      </c>
      <c r="AE26" s="1">
        <v>120.46525671678843</v>
      </c>
    </row>
    <row r="27" spans="1:33" x14ac:dyDescent="0.2">
      <c r="A27" s="4"/>
      <c r="B27" s="4" t="s">
        <v>45</v>
      </c>
      <c r="C27" s="5" t="s">
        <v>32</v>
      </c>
      <c r="D27" s="4"/>
      <c r="E27" s="3">
        <v>0</v>
      </c>
      <c r="F27" s="3">
        <v>0</v>
      </c>
      <c r="G27" s="3">
        <v>202.160416</v>
      </c>
      <c r="H27" s="2">
        <v>291.00544000000002</v>
      </c>
      <c r="I27" s="1">
        <v>320.60965999999996</v>
      </c>
      <c r="J27" s="1">
        <v>176.81000000000006</v>
      </c>
      <c r="K27" s="1">
        <v>179.46214999999995</v>
      </c>
      <c r="L27" s="1">
        <v>182.15408224999999</v>
      </c>
      <c r="M27" s="1">
        <v>184.88639348374991</v>
      </c>
      <c r="N27" s="1">
        <v>187.65968938600614</v>
      </c>
      <c r="O27" s="1">
        <v>190.47458472679625</v>
      </c>
      <c r="P27" s="1">
        <v>193.33170349769821</v>
      </c>
      <c r="R27" s="4"/>
      <c r="S27" s="4" t="s">
        <v>45</v>
      </c>
      <c r="T27" s="5" t="s">
        <v>32</v>
      </c>
      <c r="U27" s="4"/>
      <c r="V27" s="3">
        <v>202.160416</v>
      </c>
      <c r="W27" s="2">
        <v>291.00544000000002</v>
      </c>
      <c r="X27" s="1">
        <v>320.60965999999996</v>
      </c>
      <c r="Y27" s="1">
        <v>176.81000000000006</v>
      </c>
      <c r="Z27" s="1">
        <v>179.46214999999995</v>
      </c>
      <c r="AA27" s="1">
        <v>182.15408224999999</v>
      </c>
      <c r="AB27" s="1">
        <v>184.88639348374991</v>
      </c>
      <c r="AC27" s="1">
        <v>187.65968938600614</v>
      </c>
      <c r="AD27" s="1">
        <v>190.47458472679625</v>
      </c>
      <c r="AE27" s="1">
        <v>193.33170349769821</v>
      </c>
    </row>
    <row r="28" spans="1:33" x14ac:dyDescent="0.2">
      <c r="A28" s="4"/>
      <c r="B28" s="30" t="s">
        <v>46</v>
      </c>
      <c r="C28" s="29" t="s">
        <v>32</v>
      </c>
      <c r="D28" s="28"/>
      <c r="E28" s="27">
        <f>+SUM(E24:E27)</f>
        <v>0</v>
      </c>
      <c r="F28" s="27">
        <f>+SUM(F24:F27)</f>
        <v>0</v>
      </c>
      <c r="G28" s="27">
        <v>4307.8884559999997</v>
      </c>
      <c r="H28" s="26">
        <v>4768.3974599999992</v>
      </c>
      <c r="I28" s="117">
        <v>1490.5165799999995</v>
      </c>
      <c r="J28" s="117">
        <v>1490.9172600000002</v>
      </c>
      <c r="K28" s="117">
        <v>1513.2810189000002</v>
      </c>
      <c r="L28" s="117">
        <v>1535.9802341835002</v>
      </c>
      <c r="M28" s="117">
        <v>1559.0199376962523</v>
      </c>
      <c r="N28" s="117">
        <v>1582.4052367616953</v>
      </c>
      <c r="O28" s="117">
        <v>1606.1413153131207</v>
      </c>
      <c r="P28" s="117">
        <v>1630.2334350428175</v>
      </c>
      <c r="R28" s="4"/>
      <c r="S28" s="30" t="s">
        <v>46</v>
      </c>
      <c r="T28" s="29" t="s">
        <v>32</v>
      </c>
      <c r="U28" s="28"/>
      <c r="V28" s="27">
        <f>SUM(V24:V27)</f>
        <v>4307.8884559999997</v>
      </c>
      <c r="W28" s="27">
        <f t="shared" ref="W28:AE28" si="14">SUM(W24:W27)</f>
        <v>4768.3974599999992</v>
      </c>
      <c r="X28" s="27">
        <f t="shared" si="14"/>
        <v>4760.6650699999991</v>
      </c>
      <c r="Y28" s="27">
        <f t="shared" si="14"/>
        <v>4761.0510899999981</v>
      </c>
      <c r="Z28" s="27">
        <f t="shared" si="14"/>
        <v>4847.8516129999998</v>
      </c>
      <c r="AA28" s="27">
        <f t="shared" si="14"/>
        <v>4938.0861389780011</v>
      </c>
      <c r="AB28" s="27">
        <f t="shared" si="14"/>
        <v>5028.7827178813313</v>
      </c>
      <c r="AC28" s="27">
        <f t="shared" si="14"/>
        <v>5121.9699512045845</v>
      </c>
      <c r="AD28" s="27">
        <f t="shared" si="14"/>
        <v>5216.6770028787851</v>
      </c>
      <c r="AE28" s="27">
        <f t="shared" si="14"/>
        <v>5312.9336103762234</v>
      </c>
    </row>
    <row r="29" spans="1:33" x14ac:dyDescent="0.2">
      <c r="A29" s="4"/>
      <c r="B29" s="4"/>
      <c r="C29" s="5"/>
      <c r="D29" s="4"/>
      <c r="E29" s="15"/>
      <c r="F29" s="15"/>
      <c r="G29" s="15"/>
      <c r="H29" s="25"/>
      <c r="I29" s="24"/>
      <c r="J29" s="24"/>
      <c r="K29" s="24"/>
      <c r="L29" s="24"/>
      <c r="M29" s="24"/>
      <c r="N29" s="24"/>
      <c r="O29" s="24"/>
      <c r="P29" s="24"/>
      <c r="R29" s="4"/>
      <c r="S29" s="4"/>
      <c r="T29" s="5"/>
      <c r="U29" s="4"/>
      <c r="V29" s="15"/>
      <c r="W29" s="25"/>
      <c r="X29" s="24"/>
      <c r="Y29" s="24"/>
      <c r="Z29" s="24"/>
      <c r="AA29" s="24"/>
      <c r="AB29" s="24"/>
      <c r="AC29" s="24"/>
      <c r="AD29" s="24"/>
      <c r="AE29" s="24"/>
    </row>
    <row r="30" spans="1:33" x14ac:dyDescent="0.2">
      <c r="A30" s="22"/>
      <c r="B30" s="22" t="s">
        <v>47</v>
      </c>
      <c r="C30" s="23" t="s">
        <v>32</v>
      </c>
      <c r="D30" s="22"/>
      <c r="E30" s="21">
        <f>+E20-E28</f>
        <v>0</v>
      </c>
      <c r="F30" s="21">
        <f>+F20-F28</f>
        <v>0</v>
      </c>
      <c r="G30" s="21">
        <v>2490.8264840000029</v>
      </c>
      <c r="H30" s="116">
        <v>3086.3066500000014</v>
      </c>
      <c r="I30" s="115">
        <v>6586.7167199999985</v>
      </c>
      <c r="J30" s="115">
        <v>7732.6357168000031</v>
      </c>
      <c r="K30" s="115">
        <v>8710.7430174359979</v>
      </c>
      <c r="L30" s="115">
        <v>8892.5242828792179</v>
      </c>
      <c r="M30" s="115">
        <v>9078.0546697077225</v>
      </c>
      <c r="N30" s="115">
        <v>9267.410862790357</v>
      </c>
      <c r="O30" s="115">
        <v>9460.6711062299728</v>
      </c>
      <c r="P30" s="115">
        <v>9657.9152349311407</v>
      </c>
      <c r="R30" s="22"/>
      <c r="S30" s="22" t="s">
        <v>63</v>
      </c>
      <c r="T30" s="23" t="s">
        <v>32</v>
      </c>
      <c r="U30" s="22"/>
      <c r="V30" s="21">
        <f>V20-V28</f>
        <v>2490.8264840000029</v>
      </c>
      <c r="W30" s="21">
        <f t="shared" ref="W30:AE30" si="15">W20-W28</f>
        <v>3086.3066500000014</v>
      </c>
      <c r="X30" s="21">
        <f t="shared" si="15"/>
        <v>3316.5682299999989</v>
      </c>
      <c r="Y30" s="21">
        <f t="shared" si="15"/>
        <v>4462.5018868000052</v>
      </c>
      <c r="Z30" s="21">
        <f t="shared" si="15"/>
        <v>5376.1724233359973</v>
      </c>
      <c r="AA30" s="21">
        <f t="shared" si="15"/>
        <v>5490.418378084717</v>
      </c>
      <c r="AB30" s="21">
        <f t="shared" si="15"/>
        <v>5608.291889522643</v>
      </c>
      <c r="AC30" s="21">
        <f t="shared" si="15"/>
        <v>5727.8461483474675</v>
      </c>
      <c r="AD30" s="21">
        <f t="shared" si="15"/>
        <v>5850.1354186643093</v>
      </c>
      <c r="AE30" s="21">
        <f t="shared" si="15"/>
        <v>5975.2150595977346</v>
      </c>
      <c r="AG30" t="s">
        <v>64</v>
      </c>
    </row>
    <row r="31" spans="1:33" x14ac:dyDescent="0.2">
      <c r="A31" s="19" t="s">
        <v>66</v>
      </c>
      <c r="B31" s="19" t="s">
        <v>40</v>
      </c>
      <c r="C31" s="20" t="s">
        <v>34</v>
      </c>
      <c r="D31" s="19"/>
      <c r="E31" s="18" t="str">
        <f>+IFERROR(E30/E$12,"n.a.")</f>
        <v>n.a.</v>
      </c>
      <c r="F31" s="18" t="str">
        <f>+IFERROR(F30/F$12,"n.a.")</f>
        <v>n.a.</v>
      </c>
      <c r="G31" s="18">
        <v>0.18364244871006227</v>
      </c>
      <c r="H31" s="17">
        <v>0.1958868441490148</v>
      </c>
      <c r="I31" s="16">
        <v>0.81546693965122896</v>
      </c>
      <c r="J31" s="16">
        <v>0.83835759779879804</v>
      </c>
      <c r="K31" s="16">
        <v>0.85198772875319684</v>
      </c>
      <c r="L31" s="16">
        <v>0.85271327910244576</v>
      </c>
      <c r="M31" s="16">
        <v>0.85343527283233589</v>
      </c>
      <c r="N31" s="16">
        <v>0.85415372737727535</v>
      </c>
      <c r="O31" s="16">
        <v>0.85486866008621021</v>
      </c>
      <c r="P31" s="16">
        <v>0.85558008822304266</v>
      </c>
      <c r="R31" s="19"/>
      <c r="S31" s="19" t="s">
        <v>40</v>
      </c>
      <c r="T31" s="20" t="s">
        <v>34</v>
      </c>
      <c r="U31" s="19"/>
      <c r="V31" s="18">
        <v>0.18364244871006227</v>
      </c>
      <c r="W31" s="17">
        <v>0.1958868441490148</v>
      </c>
      <c r="X31" s="16">
        <f>X30/X12</f>
        <v>0.20247549104444476</v>
      </c>
      <c r="Y31" s="16">
        <f t="shared" ref="Y31:AE31" si="16">Y30/Y12</f>
        <v>0.25956901325841397</v>
      </c>
      <c r="Z31" s="16">
        <f t="shared" si="16"/>
        <v>0.29295058756754849</v>
      </c>
      <c r="AA31" s="16">
        <f t="shared" si="16"/>
        <v>0.2933097180173907</v>
      </c>
      <c r="AB31" s="16">
        <f t="shared" si="16"/>
        <v>0.29373212682038174</v>
      </c>
      <c r="AC31" s="16">
        <f t="shared" si="16"/>
        <v>0.29411150496243299</v>
      </c>
      <c r="AD31" s="16">
        <f t="shared" si="16"/>
        <v>0.29450075785858032</v>
      </c>
      <c r="AE31" s="16">
        <f t="shared" si="16"/>
        <v>0.29489938492393269</v>
      </c>
      <c r="AG31" t="s">
        <v>65</v>
      </c>
    </row>
    <row r="32" spans="1:33" x14ac:dyDescent="0.2">
      <c r="A32" s="4"/>
      <c r="B32" s="4"/>
      <c r="C32" s="5"/>
      <c r="D32" s="4"/>
      <c r="E32" s="15"/>
      <c r="F32" s="15"/>
      <c r="G32" s="10"/>
      <c r="H32" s="9"/>
      <c r="I32" s="14"/>
      <c r="J32" s="4"/>
      <c r="K32" s="4"/>
      <c r="L32" s="13"/>
      <c r="M32" s="13"/>
      <c r="N32" s="13"/>
      <c r="O32" s="13"/>
      <c r="P32" s="13"/>
    </row>
    <row r="33" spans="1:16" x14ac:dyDescent="0.2">
      <c r="A33" s="4"/>
      <c r="B33" s="4"/>
      <c r="C33" s="5"/>
      <c r="D33" s="4"/>
      <c r="E33" s="4"/>
      <c r="F33" s="4"/>
      <c r="G33" s="10"/>
      <c r="H33" s="9"/>
      <c r="I33" s="4"/>
      <c r="J33" s="4"/>
      <c r="K33" s="4"/>
      <c r="L33" s="4"/>
      <c r="M33" s="4"/>
      <c r="N33" s="4"/>
      <c r="O33" s="4"/>
      <c r="P33" s="4"/>
    </row>
    <row r="34" spans="1:16" ht="19" x14ac:dyDescent="0.25">
      <c r="A34" s="4"/>
      <c r="B34" s="8" t="s">
        <v>49</v>
      </c>
      <c r="C34" s="11">
        <v>12000</v>
      </c>
      <c r="D34" s="4"/>
      <c r="E34" s="4"/>
      <c r="F34" s="4"/>
      <c r="G34" s="10"/>
      <c r="H34" s="9"/>
      <c r="I34" s="4"/>
      <c r="J34" s="4"/>
      <c r="K34" s="4"/>
      <c r="L34" s="4"/>
      <c r="M34" s="4"/>
      <c r="N34" s="4"/>
      <c r="O34" s="4"/>
      <c r="P34" s="4"/>
    </row>
    <row r="35" spans="1:16" ht="19" x14ac:dyDescent="0.25">
      <c r="A35" s="4"/>
      <c r="B35" s="8" t="s">
        <v>50</v>
      </c>
      <c r="C35" s="12" t="s">
        <v>51</v>
      </c>
      <c r="D35" s="4"/>
      <c r="E35" s="4"/>
      <c r="F35" s="4"/>
      <c r="G35" s="10"/>
      <c r="H35" s="9"/>
      <c r="I35" s="4"/>
      <c r="J35" s="4"/>
      <c r="K35" s="4"/>
      <c r="L35" s="4"/>
      <c r="M35" s="4"/>
      <c r="N35" s="4"/>
      <c r="O35" s="4"/>
      <c r="P35" s="4"/>
    </row>
    <row r="36" spans="1:16" ht="19" x14ac:dyDescent="0.25">
      <c r="A36" s="4"/>
      <c r="B36" s="8" t="s">
        <v>52</v>
      </c>
      <c r="C36" s="12" t="s">
        <v>53</v>
      </c>
      <c r="D36" s="4"/>
      <c r="E36" s="4"/>
      <c r="F36" s="4"/>
      <c r="G36" s="10"/>
      <c r="H36" s="9"/>
      <c r="I36" s="4"/>
      <c r="J36" s="4"/>
      <c r="K36" s="4"/>
      <c r="L36" s="4"/>
      <c r="M36" s="4"/>
      <c r="N36" s="4"/>
      <c r="O36" s="4"/>
      <c r="P36" s="4"/>
    </row>
    <row r="37" spans="1:16" ht="19" x14ac:dyDescent="0.25">
      <c r="A37" s="4"/>
      <c r="B37" s="8" t="s">
        <v>54</v>
      </c>
      <c r="C37" s="11">
        <v>250</v>
      </c>
      <c r="D37" s="4"/>
      <c r="E37" s="4"/>
      <c r="F37" s="4"/>
      <c r="G37" s="10"/>
      <c r="H37" s="9"/>
      <c r="I37" s="4"/>
      <c r="J37" s="4"/>
      <c r="K37" s="4"/>
      <c r="L37" s="4"/>
      <c r="M37" s="4"/>
      <c r="N37" s="4"/>
      <c r="O37" s="4"/>
      <c r="P37" s="4"/>
    </row>
    <row r="38" spans="1:16" ht="19" x14ac:dyDescent="0.25">
      <c r="A38" s="4"/>
      <c r="B38" s="8" t="s">
        <v>55</v>
      </c>
      <c r="C38" s="12" t="s">
        <v>56</v>
      </c>
      <c r="D38" s="4"/>
      <c r="E38" s="4"/>
      <c r="F38" s="4"/>
      <c r="G38" s="10"/>
      <c r="H38" s="9"/>
      <c r="I38" s="4"/>
      <c r="J38" s="4"/>
      <c r="K38" s="4"/>
      <c r="L38" s="4"/>
      <c r="M38" s="4"/>
      <c r="N38" s="4"/>
      <c r="O38" s="4"/>
      <c r="P38" s="4"/>
    </row>
    <row r="39" spans="1:16" ht="19" x14ac:dyDescent="0.25">
      <c r="A39" s="4"/>
      <c r="B39" s="8" t="s">
        <v>57</v>
      </c>
      <c r="C39" s="11">
        <v>1500</v>
      </c>
      <c r="D39" s="4"/>
      <c r="E39" s="4"/>
      <c r="F39" s="4"/>
      <c r="G39" s="10"/>
      <c r="H39" s="9"/>
      <c r="I39" s="4"/>
      <c r="J39" s="4"/>
      <c r="K39" s="4"/>
      <c r="L39" s="4"/>
      <c r="M39" s="4"/>
      <c r="N39" s="4"/>
      <c r="O39" s="4"/>
      <c r="P39" s="4"/>
    </row>
    <row r="40" spans="1:16" ht="19" x14ac:dyDescent="0.25">
      <c r="B40" s="8" t="s">
        <v>58</v>
      </c>
      <c r="C40" s="7" t="s">
        <v>59</v>
      </c>
    </row>
    <row r="41" spans="1:16" ht="19" x14ac:dyDescent="0.25">
      <c r="A41" t="s">
        <v>66</v>
      </c>
      <c r="B41" s="8" t="s">
        <v>60</v>
      </c>
      <c r="C41" s="7" t="s">
        <v>61</v>
      </c>
    </row>
    <row r="42" spans="1:16" ht="19" x14ac:dyDescent="0.25">
      <c r="B42" s="6"/>
      <c r="C42" s="6"/>
    </row>
    <row r="43" spans="1:16" ht="15" customHeight="1" x14ac:dyDescent="0.2">
      <c r="A43" s="4"/>
      <c r="B43" s="4" t="s">
        <v>62</v>
      </c>
      <c r="C43" s="5" t="s">
        <v>32</v>
      </c>
      <c r="D43" s="4"/>
      <c r="E43" s="3">
        <v>0</v>
      </c>
      <c r="F43" s="3">
        <v>0</v>
      </c>
      <c r="G43" s="3">
        <v>3033.3637600000002</v>
      </c>
      <c r="H43" s="2">
        <v>3430.7069699999997</v>
      </c>
      <c r="I43" s="1">
        <v>3269.7653299999997</v>
      </c>
      <c r="J43" s="1">
        <v>3269.9513299999985</v>
      </c>
      <c r="K43" s="1">
        <v>3335.3503565999995</v>
      </c>
      <c r="L43" s="1">
        <v>3402.0573637320008</v>
      </c>
      <c r="M43" s="1">
        <v>3470.0985110066408</v>
      </c>
      <c r="N43" s="1">
        <v>3539.5004812267744</v>
      </c>
      <c r="O43" s="1">
        <v>3610.2904908513078</v>
      </c>
      <c r="P43" s="1">
        <v>3682.4963006683342</v>
      </c>
    </row>
  </sheetData>
  <mergeCells count="4">
    <mergeCell ref="G3:H3"/>
    <mergeCell ref="I3:P3"/>
    <mergeCell ref="V3:W3"/>
    <mergeCell ref="X3:AE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406715A740934999FE71FB7A3B349E" ma:contentTypeVersion="9" ma:contentTypeDescription="Create a new document." ma:contentTypeScope="" ma:versionID="c6061a92ab3fe6612e68b401a2cb50c8">
  <xsd:schema xmlns:xsd="http://www.w3.org/2001/XMLSchema" xmlns:xs="http://www.w3.org/2001/XMLSchema" xmlns:p="http://schemas.microsoft.com/office/2006/metadata/properties" xmlns:ns3="c2570828-1846-4ff4-9300-9979883300c6" xmlns:ns4="069f431f-20f6-4b60-aab6-77cc25d3b28e" targetNamespace="http://schemas.microsoft.com/office/2006/metadata/properties" ma:root="true" ma:fieldsID="3ed20a370f68c9c5efad6e01a45441d8" ns3:_="" ns4:_="">
    <xsd:import namespace="c2570828-1846-4ff4-9300-9979883300c6"/>
    <xsd:import namespace="069f431f-20f6-4b60-aab6-77cc25d3b2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70828-1846-4ff4-9300-997988330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f431f-20f6-4b60-aab6-77cc25d3b2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570828-1846-4ff4-9300-9979883300c6" xsi:nil="true"/>
  </documentManagement>
</p:properties>
</file>

<file path=customXml/itemProps1.xml><?xml version="1.0" encoding="utf-8"?>
<ds:datastoreItem xmlns:ds="http://schemas.openxmlformats.org/officeDocument/2006/customXml" ds:itemID="{BFEE5BD5-3E28-476F-B9FB-C2573E9B99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9DD2DA-157F-4022-AF21-D2180DEEA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570828-1846-4ff4-9300-9979883300c6"/>
    <ds:schemaRef ds:uri="069f431f-20f6-4b60-aab6-77cc25d3b2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49F218-71FF-43D7-8893-06D582BE1754}">
  <ds:schemaRefs>
    <ds:schemaRef ds:uri="http://purl.org/dc/elements/1.1/"/>
    <ds:schemaRef ds:uri="http://www.w3.org/XML/1998/namespace"/>
    <ds:schemaRef ds:uri="http://schemas.microsoft.com/office/2006/documentManagement/types"/>
    <ds:schemaRef ds:uri="069f431f-20f6-4b60-aab6-77cc25d3b28e"/>
    <ds:schemaRef ds:uri="c2570828-1846-4ff4-9300-9979883300c6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Ouputs - Base</vt:lpstr>
      <vt:lpstr>DCF Model - Base (1)</vt:lpstr>
      <vt:lpstr>DCF Model - Bull (2)</vt:lpstr>
      <vt:lpstr>DCF Model - Bear (3)</vt:lpstr>
      <vt:lpstr>WACC</vt:lpstr>
      <vt:lpstr>Comps</vt:lpstr>
      <vt:lpstr>Assumption Breakdown</vt:lpstr>
      <vt:lpstr>Data -&gt;</vt:lpstr>
      <vt:lpstr>Data Given (Recalculated)</vt:lpstr>
      <vt:lpstr>Original &amp; Adjusted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Varcas Kumar Sabharwal</dc:creator>
  <cp:keywords/>
  <dc:description/>
  <cp:lastModifiedBy>Ryan Rodrigues</cp:lastModifiedBy>
  <cp:revision/>
  <dcterms:created xsi:type="dcterms:W3CDTF">2025-07-16T02:30:30Z</dcterms:created>
  <dcterms:modified xsi:type="dcterms:W3CDTF">2026-02-12T05:45:57Z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